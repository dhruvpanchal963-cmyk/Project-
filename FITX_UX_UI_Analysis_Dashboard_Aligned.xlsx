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tables/table12.xml" ContentType="application/vnd.openxmlformats-officedocument.spreadsheetml.table+xml"/>
  <Override PartName="/xl/tables/table13.xml" ContentType="application/vnd.openxmlformats-officedocument.spreadsheetml.table+xml"/>
  <Override PartName="/xl/tables/table14.xml" ContentType="application/vnd.openxmlformats-officedocument.spreadsheetml.table+xml"/>
  <Override PartName="/xl/tables/table15.xml" ContentType="application/vnd.openxmlformats-officedocument.spreadsheetml.table+xml"/>
  <Override PartName="/xl/tables/table16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mohammed\Desktop\"/>
    </mc:Choice>
  </mc:AlternateContent>
  <xr:revisionPtr revIDLastSave="0" documentId="13_ncr:1_{720038DC-8983-4CC6-AB44-C341B40D4FE3}" xr6:coauthVersionLast="47" xr6:coauthVersionMax="47" xr10:uidLastSave="{00000000-0000-0000-0000-000000000000}"/>
  <bookViews>
    <workbookView xWindow="-109" yWindow="-109" windowWidth="26301" windowHeight="14169" firstSheet="10" activeTab="15" xr2:uid="{00000000-000D-0000-FFFF-FFFF00000000}"/>
  </bookViews>
  <sheets>
    <sheet name="01_User_Profile" sheetId="1" r:id="rId1"/>
    <sheet name="02_User_Segments" sheetId="2" r:id="rId2"/>
    <sheet name="03_Device_Analysis" sheetId="3" r:id="rId3"/>
    <sheet name="05_Navigation_Flows" sheetId="5" r:id="rId4"/>
    <sheet name="06_Top_Navigation_Flows" sheetId="6" r:id="rId5"/>
    <sheet name="07_Funnels" sheetId="7" r:id="rId6"/>
    <sheet name="08_CTA_Analysis" sheetId="8" r:id="rId7"/>
    <sheet name="09_Button_Analysis" sheetId="9" r:id="rId8"/>
    <sheet name="10_Exit_Analysis" sheetId="10" r:id="rId9"/>
    <sheet name="11_Exit_Reason_By_Page" sheetId="11" r:id="rId10"/>
    <sheet name="12_Form_Analysis" sheetId="12" r:id="rId11"/>
    <sheet name="13_Validation_Errors" sheetId="13" r:id="rId12"/>
    <sheet name="14_Scroll_Analysis" sheetId="14" r:id="rId13"/>
    <sheet name="15_Correlation" sheetId="15" r:id="rId14"/>
    <sheet name="16_UX_Insights" sheetId="16" r:id="rId15"/>
    <sheet name="17_Executive_Summary" sheetId="17" r:id="rId16"/>
  </sheets>
  <calcPr calcId="191029" forceFullCalc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3" i="12" l="1"/>
  <c r="D4" i="12"/>
  <c r="D5" i="12"/>
  <c r="D6" i="12"/>
  <c r="D7" i="12"/>
  <c r="D2" i="12"/>
  <c r="C2" i="2"/>
  <c r="C4" i="2"/>
  <c r="C3" i="2"/>
  <c r="B9" i="1"/>
  <c r="B8" i="1"/>
  <c r="F2" i="2"/>
</calcChain>
</file>

<file path=xl/sharedStrings.xml><?xml version="1.0" encoding="utf-8"?>
<sst xmlns="http://schemas.openxmlformats.org/spreadsheetml/2006/main" count="1085" uniqueCount="367">
  <si>
    <t>Metric</t>
  </si>
  <si>
    <t>Value</t>
  </si>
  <si>
    <t>Total unique users</t>
  </si>
  <si>
    <t>Total unique sessions</t>
  </si>
  <si>
    <t>Total events</t>
  </si>
  <si>
    <t>Average sessions per user</t>
  </si>
  <si>
    <t>Average events per session</t>
  </si>
  <si>
    <t>Average events per user</t>
  </si>
  <si>
    <t>One-time users</t>
  </si>
  <si>
    <t>Repeat users</t>
  </si>
  <si>
    <t>One-time user percentage</t>
  </si>
  <si>
    <t>Repeat user percentage</t>
  </si>
  <si>
    <t>Segment</t>
  </si>
  <si>
    <t>Definition</t>
  </si>
  <si>
    <t>Users</t>
  </si>
  <si>
    <t>Percentage of Users</t>
  </si>
  <si>
    <t>Avg Sessions</t>
  </si>
  <si>
    <t>Avg Pages Viewed</t>
  </si>
  <si>
    <t>Avg Events</t>
  </si>
  <si>
    <t>Avg Clicks</t>
  </si>
  <si>
    <t>Avg Scroll Depth</t>
  </si>
  <si>
    <t>Scope note</t>
  </si>
  <si>
    <t>Engagement</t>
  </si>
  <si>
    <t>Low Engagement</t>
  </si>
  <si>
    <t>Bottom/middle/top third of a simple composite percentile score across sessions, pages viewed, events, clicks and average scroll depth.</t>
  </si>
  <si>
    <t>Medium Engagement</t>
  </si>
  <si>
    <t>High Engagement</t>
  </si>
  <si>
    <t>Device</t>
  </si>
  <si>
    <t>Unique Users</t>
  </si>
  <si>
    <t>Unique Sessions</t>
  </si>
  <si>
    <t>Events</t>
  </si>
  <si>
    <t>Avg Pages/Session</t>
  </si>
  <si>
    <t>CTA Clicks</t>
  </si>
  <si>
    <t>Button Clicks</t>
  </si>
  <si>
    <t>Form Abandonments</t>
  </si>
  <si>
    <t>Validation Errors</t>
  </si>
  <si>
    <t>Repeat Users</t>
  </si>
  <si>
    <t>One-time Users</t>
  </si>
  <si>
    <t>Repeat-user %</t>
  </si>
  <si>
    <t>One-time-user %</t>
  </si>
  <si>
    <t>Screenshot Device Distribution</t>
  </si>
  <si>
    <t>Screenshot Retention</t>
  </si>
  <si>
    <t>desktop</t>
  </si>
  <si>
    <t>Repeat 25.28% / One-time 74.72%</t>
  </si>
  <si>
    <t>mobile</t>
  </si>
  <si>
    <t>Repeat 27.59% / One-time 72.41%</t>
  </si>
  <si>
    <t>tablet</t>
  </si>
  <si>
    <t>Repeat 23.38% / One-time 76.62%</t>
  </si>
  <si>
    <t>Device Summary</t>
  </si>
  <si>
    <t>Finding</t>
  </si>
  <si>
    <t>Basis</t>
  </si>
  <si>
    <t>Highest engagement</t>
  </si>
  <si>
    <t>Highest displayed device volume (page-view count): desktop 1,650; engagement metric retained from prior analysis</t>
  </si>
  <si>
    <t>Lowest engagement</t>
  </si>
  <si>
    <t>Lowest events/session from prior generated analysis: tablet</t>
  </si>
  <si>
    <t>Highest repeat-user rate</t>
  </si>
  <si>
    <t>Highest repeat-user rate shown in dashboard: 27.59%</t>
  </si>
  <si>
    <t>Highest recorded friction count</t>
  </si>
  <si>
    <t>Highest combined recorded friction count from prior generated analysis</t>
  </si>
  <si>
    <t>Page</t>
  </si>
  <si>
    <t>Exit Users</t>
  </si>
  <si>
    <t>Exit Count</t>
  </si>
  <si>
    <t>about.html</t>
  </si>
  <si>
    <t>analytics-export.html</t>
  </si>
  <si>
    <t>classes.html</t>
  </si>
  <si>
    <t>contact.html</t>
  </si>
  <si>
    <t>dashboard.html</t>
  </si>
  <si>
    <t>diet.html</t>
  </si>
  <si>
    <t>exercises.html</t>
  </si>
  <si>
    <t>faq.html</t>
  </si>
  <si>
    <t>gallery.html</t>
  </si>
  <si>
    <t>index.html</t>
  </si>
  <si>
    <t>membership.html</t>
  </si>
  <si>
    <t>programs.html</t>
  </si>
  <si>
    <t>search.html</t>
  </si>
  <si>
    <t>trainers.html</t>
  </si>
  <si>
    <t>from_page</t>
  </si>
  <si>
    <t>to_page</t>
  </si>
  <si>
    <t>Transitions</t>
  </si>
  <si>
    <t>% of All Transitions</t>
  </si>
  <si>
    <t>Rank</t>
  </si>
  <si>
    <t>Funnel</t>
  </si>
  <si>
    <t>Stage</t>
  </si>
  <si>
    <t>Stage Name</t>
  </si>
  <si>
    <t>Users Reaching Stage</t>
  </si>
  <si>
    <t>Drop-off Count</t>
  </si>
  <si>
    <t>Drop-off %</t>
  </si>
  <si>
    <t>Continuation %</t>
  </si>
  <si>
    <t>Homepage → Classes → Confirmed Booking</t>
  </si>
  <si>
    <t>Homepage</t>
  </si>
  <si>
    <t>Funnel values retained from prior generated chronological analysis; no funnel counts are numerically shown in screenshot.</t>
  </si>
  <si>
    <t>Classes</t>
  </si>
  <si>
    <t>Confirmed Booking</t>
  </si>
  <si>
    <t>Membership → Selection → Successful Membership Submission</t>
  </si>
  <si>
    <t>Membership</t>
  </si>
  <si>
    <t>Membership Selection</t>
  </si>
  <si>
    <t>Membership Submission</t>
  </si>
  <si>
    <t>CTA</t>
  </si>
  <si>
    <t>Click Count</t>
  </si>
  <si>
    <t>% of All Users</t>
  </si>
  <si>
    <t>Denominator</t>
  </si>
  <si>
    <t>Join Now</t>
  </si>
  <si>
    <t>View Exercises</t>
  </si>
  <si>
    <t>Get Started</t>
  </si>
  <si>
    <t>Book Class</t>
  </si>
  <si>
    <t>Explore Membership</t>
  </si>
  <si>
    <t>Start Workout</t>
  </si>
  <si>
    <t>Contact Us</t>
  </si>
  <si>
    <t>Button</t>
  </si>
  <si>
    <t>ALL</t>
  </si>
  <si>
    <t>MOBILITY</t>
  </si>
  <si>
    <t>Core</t>
  </si>
  <si>
    <t>Cardio</t>
  </si>
  <si>
    <t>Login</t>
  </si>
  <si>
    <t>Choose Essential</t>
  </si>
  <si>
    <t>STRENGTH</t>
  </si>
  <si>
    <t>Back</t>
  </si>
  <si>
    <t>Save Question &amp;rarr;</t>
  </si>
  <si>
    <t>BALANCED</t>
  </si>
  <si>
    <t>FUNCTIONAL</t>
  </si>
  <si>
    <t>Mobility</t>
  </si>
  <si>
    <t>Choose Performance</t>
  </si>
  <si>
    <t>Clear Local Behaviour Data</t>
  </si>
  <si>
    <t>All</t>
  </si>
  <si>
    <t>Send Message &amp;rarr;</t>
  </si>
  <si>
    <t>LEANING</t>
  </si>
  <si>
    <t>FAT LOSS</t>
  </si>
  <si>
    <t>FITNESS</t>
  </si>
  <si>
    <t>Book &amp;rarr;</t>
  </si>
  <si>
    <t>BEGINNER</t>
  </si>
  <si>
    <t>Choose Elite</t>
  </si>
  <si>
    <t>Legs</t>
  </si>
  <si>
    <t>Export All Events CSV</t>
  </si>
  <si>
    <t>VEG</t>
  </si>
  <si>
    <t>Arms</t>
  </si>
  <si>
    <t>CARDIO</t>
  </si>
  <si>
    <t>NON-VEG</t>
  </si>
  <si>
    <t>Shoulders</t>
  </si>
  <si>
    <t>Clear saved questions</t>
  </si>
  <si>
    <t>CORE</t>
  </si>
  <si>
    <t>RECOVERY</t>
  </si>
  <si>
    <t>CONDITIONING</t>
  </si>
  <si>
    <t>PERFORMANCE</t>
  </si>
  <si>
    <t>Export All Behaviour CSVs &amp;rarr;</t>
  </si>
  <si>
    <t>Chest</t>
  </si>
  <si>
    <t>Unique Exit Sessions</t>
  </si>
  <si>
    <t>Recorded Exit Reason</t>
  </si>
  <si>
    <t>navigation</t>
  </si>
  <si>
    <t>session_end</t>
  </si>
  <si>
    <t>closed_tab</t>
  </si>
  <si>
    <t>browser_back</t>
  </si>
  <si>
    <t>idle_timeout</t>
  </si>
  <si>
    <t>Form</t>
  </si>
  <si>
    <t>Forms Started</t>
  </si>
  <si>
    <t>Forms Submitted</t>
  </si>
  <si>
    <t>Forms Abandoned</t>
  </si>
  <si>
    <t>class_booking_form</t>
  </si>
  <si>
    <t>contact_form</t>
  </si>
  <si>
    <t>joinModal</t>
  </si>
  <si>
    <t>loginModal</t>
  </si>
  <si>
    <t>membership_form</t>
  </si>
  <si>
    <t>newsletter_form</t>
  </si>
  <si>
    <t>Abandonment by Page</t>
  </si>
  <si>
    <t>Abandonment by Device</t>
  </si>
  <si>
    <t>Error Type</t>
  </si>
  <si>
    <t>Error Count</t>
  </si>
  <si>
    <t>Users Encountering Error</t>
  </si>
  <si>
    <t>Sessions With Error</t>
  </si>
  <si>
    <t>required_field</t>
  </si>
  <si>
    <t>invalid_email</t>
  </si>
  <si>
    <t>invalid_input</t>
  </si>
  <si>
    <t>invalid_phone</t>
  </si>
  <si>
    <t>password_mismatch</t>
  </si>
  <si>
    <t>invalid_date</t>
  </si>
  <si>
    <t>Errors by Page/Form</t>
  </si>
  <si>
    <t>login_form</t>
  </si>
  <si>
    <t>Errors by Device</t>
  </si>
  <si>
    <t>Scroll Depth %</t>
  </si>
  <si>
    <t>Event Count</t>
  </si>
  <si>
    <t>Authoritative total-user denominator from screenshot</t>
  </si>
  <si>
    <t>Users Reaching Depth Thresholds</t>
  </si>
  <si>
    <t>Depth Threshold %</t>
  </si>
  <si>
    <t>Unique Users Reaching</t>
  </si>
  <si>
    <t>Scroll by Page</t>
  </si>
  <si>
    <t>Scroll Events</t>
  </si>
  <si>
    <t>Average Scroll Depth %</t>
  </si>
  <si>
    <t>Median Scroll Depth %</t>
  </si>
  <si>
    <t>Scroll by Device</t>
  </si>
  <si>
    <t>Variable</t>
  </si>
  <si>
    <t>sessions</t>
  </si>
  <si>
    <t>pages_viewed</t>
  </si>
  <si>
    <t>events</t>
  </si>
  <si>
    <t>cta_clicks</t>
  </si>
  <si>
    <t>button_clicks</t>
  </si>
  <si>
    <t>avg_scroll_depth</t>
  </si>
  <si>
    <t>form_abandonments</t>
  </si>
  <si>
    <t>validation_errors</t>
  </si>
  <si>
    <t>pages_per_session</t>
  </si>
  <si>
    <t>repeat_user</t>
  </si>
  <si>
    <t>Correlation matrix retained from prior generated analysis. Screenshot does not provide user-level paired observations needed to recompute correlations.</t>
  </si>
  <si>
    <t>Variable Descriptions</t>
  </si>
  <si>
    <t>Description</t>
  </si>
  <si>
    <t>Unique sessions per user</t>
  </si>
  <si>
    <t>Distinct pages viewed per user</t>
  </si>
  <si>
    <t>Usable event records per user</t>
  </si>
  <si>
    <t>CTA click events per user</t>
  </si>
  <si>
    <t>Button click events per user</t>
  </si>
  <si>
    <t>Mean recorded scroll depth for user; 0 if no scroll record</t>
  </si>
  <si>
    <t>Recorded form abandonment events per user</t>
  </si>
  <si>
    <t>Recorded validation error events per user</t>
  </si>
  <si>
    <t>Distinct pages viewed / unique sessions</t>
  </si>
  <si>
    <t>1 if &gt;1 unique session, otherwise 0</t>
  </si>
  <si>
    <t>Strong / Notable Relationships</t>
  </si>
  <si>
    <t>Variable 1</t>
  </si>
  <si>
    <t>Variable 2</t>
  </si>
  <si>
    <t>Correlation</t>
  </si>
  <si>
    <t>Interpretation</t>
  </si>
  <si>
    <t>Strong</t>
  </si>
  <si>
    <t>Weak/No strong relationship</t>
  </si>
  <si>
    <t>Category</t>
  </si>
  <si>
    <t>Evidence</t>
  </si>
  <si>
    <t>UX Interpretation</t>
  </si>
  <si>
    <t>Potential Recommendation</t>
  </si>
  <si>
    <t>Priority</t>
  </si>
  <si>
    <t>Retention</t>
  </si>
  <si>
    <t>Return behaviour</t>
  </si>
  <si>
    <t>Dashboard displays 606 one-time users and 212 repeat users.</t>
  </si>
  <si>
    <t>The screenshot shows these values, while the overall dashboard KPI is 913 users; the displayed return chart totals 818 and therefore does not fully reconcile to the KPI.</t>
  </si>
  <si>
    <t>The return-behaviour visual should be treated as its displayed subset/aggregation rather than assumed to partition all 913 users.</t>
  </si>
  <si>
    <t>Verify the Tableau filter/calculation behind the return-behaviour visual before presenting it as a full-population split.</t>
  </si>
  <si>
    <t>High</t>
  </si>
  <si>
    <t>Reach</t>
  </si>
  <si>
    <t>Top page</t>
  </si>
  <si>
    <t>index.html has 677 distinct users in the displayed page ranking.</t>
  </si>
  <si>
    <t>The screenshot shows index.html at 677 users, the highest displayed page value.</t>
  </si>
  <si>
    <t>The homepage is the strongest displayed page by distinct-user reach.</t>
  </si>
  <si>
    <t>Preserve the homepage's strong reach while ensuring clear pathways to high-value actions.</t>
  </si>
  <si>
    <t>Medium</t>
  </si>
  <si>
    <t>Conversion</t>
  </si>
  <si>
    <t>Classes booking funnel</t>
  </si>
  <si>
    <t>Homepage → Classes → Confirmed Booking reaches 677 → 107 → 11 users in the prior chronological funnel analysis.</t>
  </si>
  <si>
    <t>The largest stage-to-stage loss is between Classes and Confirmed Booking.</t>
  </si>
  <si>
    <t>Users reach class discovery, but few complete the recorded booking stage.</t>
  </si>
  <si>
    <t>Review booking CTA prominence, information clarity and the number of steps to completion.</t>
  </si>
  <si>
    <t>Forms</t>
  </si>
  <si>
    <t>Membership form abandonment</t>
  </si>
  <si>
    <t>membership_form has 138 displayed abandonment events.</t>
  </si>
  <si>
    <t>This value is taken directly from the screenshot.</t>
  </si>
  <si>
    <t>The membership form is a prominent friction investigation point.</t>
  </si>
  <si>
    <t>Review field count, labels, validation feedback and completion flow.</t>
  </si>
  <si>
    <t>Class booking form abandonment</t>
  </si>
  <si>
    <t>class_booking_form has 119 displayed abandonment events.</t>
  </si>
  <si>
    <t>The booking form is another significant friction point.</t>
  </si>
  <si>
    <t>Review the booking form for unnecessary fields and unclear feedback.</t>
  </si>
  <si>
    <t>Errors</t>
  </si>
  <si>
    <t>Validation errors</t>
  </si>
  <si>
    <t>invalid_input = 85; invalid_phone = 74; password_mismatch = 52; invalid_date = 49 in the screenshot.</t>
  </si>
  <si>
    <t>These values are directly visible in the validation-error chart.</t>
  </si>
  <si>
    <t>Input formatting and validation feedback are recurring interaction-friction areas.</t>
  </si>
  <si>
    <t>Improve field guidance and inline error messaging for common validation failures.</t>
  </si>
  <si>
    <t>Device UX</t>
  </si>
  <si>
    <t>Device distribution</t>
  </si>
  <si>
    <t>Desktop 1,650; mobile 1,155; tablet 232.</t>
  </si>
  <si>
    <t>The screenshot's device values sum to 3,037, matching the page-view record volume in the prior data.</t>
  </si>
  <si>
    <t>Desktop represents the largest displayed device/page-view volume.</t>
  </si>
  <si>
    <t>Maintain responsive quality across devices rather than optimizing only for desktop.</t>
  </si>
  <si>
    <t>Highest repeat-user rate by device</t>
  </si>
  <si>
    <t>Mobile shows 27.59% repeat users, versus 25.28% desktop and 23.38% tablet.</t>
  </si>
  <si>
    <t>These percentages are directly visible in the screenshot.</t>
  </si>
  <si>
    <t>Mobile has the strongest displayed repeat-user rate among the three devices.</t>
  </si>
  <si>
    <t>Study mobile journeys for patterns that may support retention and repeat use.</t>
  </si>
  <si>
    <t>Interaction</t>
  </si>
  <si>
    <t>Button clicks</t>
  </si>
  <si>
    <t>MOBILITY and ALL each have 143 displayed clicks; Core has 135; Cardio has 133.</t>
  </si>
  <si>
    <t>These values are taken directly from the screenshot.</t>
  </si>
  <si>
    <t>These controls receive the highest displayed interaction among the shown buttons.</t>
  </si>
  <si>
    <t>Preserve discoverability of popular controls and review whether the interface makes their purpose clear.</t>
  </si>
  <si>
    <t>Scroll depth</t>
  </si>
  <si>
    <t>Median recorded scroll depth is 75%.</t>
  </si>
  <si>
    <t>Prior generated scroll analysis; screenshot does not show the median value.</t>
  </si>
  <si>
    <t>Users reach relatively deep scroll positions in the supplied scroll data.</t>
  </si>
  <si>
    <t>Keep important supporting content accessible below the fold and test CTA placement.</t>
  </si>
  <si>
    <t>Low</t>
  </si>
  <si>
    <t>Exit behaviour</t>
  </si>
  <si>
    <t>Recorded exit reasons</t>
  </si>
  <si>
    <t>The screenshot heatmap shows navigation as a high recorded exit-reason count across several pages.</t>
  </si>
  <si>
    <t>These are recorded exit labels, not psychological reasons for leaving.</t>
  </si>
  <si>
    <t>Navigation-linked exits are a useful investigation signal.</t>
  </si>
  <si>
    <t>Review whether navigation choices and page transitions are clear at common exit points.</t>
  </si>
  <si>
    <t>Highest recorded validation category</t>
  </si>
  <si>
    <t>required_field remains the largest validation category in the prior generated analysis, while screenshot-visible categories are overridden with their displayed values.</t>
  </si>
  <si>
    <t>The screenshot does not display required_field, so the prior generated value is retained.</t>
  </si>
  <si>
    <t>Repeated validation failures can indicate unclear requirements or feedback.</t>
  </si>
  <si>
    <t>Improve required-field guidance while separately validating the screenshot-visible error categories.</t>
  </si>
  <si>
    <t>#</t>
  </si>
  <si>
    <t>Key Finding</t>
  </si>
  <si>
    <t>Supporting Metric / Evidence</t>
  </si>
  <si>
    <t>UX Meaning</t>
  </si>
  <si>
    <t>Recommended Action</t>
  </si>
  <si>
    <t>The dashboard reports 913 total users and 2,027 total sessions.</t>
  </si>
  <si>
    <t>913 users; 2,027 sessions.</t>
  </si>
  <si>
    <t>This is the authoritative dashboard population for this workbook.</t>
  </si>
  <si>
    <t>Use 913 users and 2,027 sessions consistently in dashboard-level metrics.</t>
  </si>
  <si>
    <t>index.html has the highest displayed page reach.</t>
  </si>
  <si>
    <t>677 distinct users.</t>
  </si>
  <si>
    <t>The homepage is the strongest displayed page by reach.</t>
  </si>
  <si>
    <t>Preserve its visibility and use it as a gateway to key journeys.</t>
  </si>
  <si>
    <t>The Classes booking journey has a major drop-off.</t>
  </si>
  <si>
    <t>677 → 107 → 11 users in the supported chronological funnel.</t>
  </si>
  <si>
    <t>Only a small share of users reaching Classes continue to the recorded booking stage.</t>
  </si>
  <si>
    <t>Review booking CTA prominence, flow length and information clarity.</t>
  </si>
  <si>
    <t>membership_form has the highest displayed form abandonment count.</t>
  </si>
  <si>
    <t>138 abandonments.</t>
  </si>
  <si>
    <t>Membership is a clear friction investigation area.</t>
  </si>
  <si>
    <t>Review form fields, labels, validation and submission feedback.</t>
  </si>
  <si>
    <t>class_booking_form also shows substantial abandonment.</t>
  </si>
  <si>
    <t>119 abandonments.</t>
  </si>
  <si>
    <t>Booking is another likely friction point in the task journey.</t>
  </si>
  <si>
    <t>Simplify the booking interaction and test completion usability.</t>
  </si>
  <si>
    <t>invalid_input is a prominent screenshot-visible validation problem.</t>
  </si>
  <si>
    <t>85 errors.</t>
  </si>
  <si>
    <t>Users encounter input validation friction.</t>
  </si>
  <si>
    <t>Improve instructions and inline feedback for invalid input.</t>
  </si>
  <si>
    <t>invalid_phone is another common screenshot-visible validation problem.</t>
  </si>
  <si>
    <t>74 errors.</t>
  </si>
  <si>
    <t>Phone input formatting may be unclear or restrictive.</t>
  </si>
  <si>
    <t>Provide explicit format guidance and clearer error messages.</t>
  </si>
  <si>
    <t>Mobile has the highest displayed repeat-user rate.</t>
  </si>
  <si>
    <t>27.59% repeat users.</t>
  </si>
  <si>
    <t>Mobile shows the strongest repeat-user percentage among displayed devices.</t>
  </si>
  <si>
    <t>Study mobile interaction patterns for retention opportunities.</t>
  </si>
  <si>
    <t>Desktop has the largest displayed device/page-view volume.</t>
  </si>
  <si>
    <t>1,650 desktop; 1,155 mobile; 232 tablet.</t>
  </si>
  <si>
    <t>Desktop is the largest displayed device segment by volume.</t>
  </si>
  <si>
    <t>Continue optimizing desktop while ensuring responsive parity.</t>
  </si>
  <si>
    <t>MOBILITY and ALL are the most-clicked displayed buttons.</t>
  </si>
  <si>
    <t>143 clicks each.</t>
  </si>
  <si>
    <t>These controls receive the highest displayed button interaction.</t>
  </si>
  <si>
    <t>Maintain their discoverability and evaluate their task relevance.</t>
  </si>
  <si>
    <t>The return-behaviour chart displays 606 one-time and 212 repeat users.</t>
  </si>
  <si>
    <t>606 + 212 = 818, while the dashboard KPI is 913 users.</t>
  </si>
  <si>
    <t>The visual does not reconcile to the total-user KPI and should not be interpreted as a complete partition without checking its filter/calculation.</t>
  </si>
  <si>
    <t>Document the scope of this visual in the final presentation.</t>
  </si>
  <si>
    <t>Prior generated scroll analysis.</t>
  </si>
  <si>
    <t>Users reach relatively deep positions in the supplied scroll data.</t>
  </si>
  <si>
    <t>Use content/CTA placement testing to determine whether deep scrolling supports task completion.</t>
  </si>
  <si>
    <t>TOP 5 UX STRENGTHS</t>
  </si>
  <si>
    <t>High homepage reach</t>
  </si>
  <si>
    <t>index.html: 677 distinct users</t>
  </si>
  <si>
    <t>Strong displayed mobile retention</t>
  </si>
  <si>
    <t>Mobile repeat-user rate: 27.59%</t>
  </si>
  <si>
    <t>Strong CTA interest</t>
  </si>
  <si>
    <t>Join Now: 373 clicks from prior generated CTA analysis</t>
  </si>
  <si>
    <t>Deep scroll reach</t>
  </si>
  <si>
    <t>Median recorded scroll depth: 75%</t>
  </si>
  <si>
    <t>Detailed navigation signal</t>
  </si>
  <si>
    <t>4,292 transition records in prior generated analysis</t>
  </si>
  <si>
    <t>TOP 5 UX PROBLEMS / OPPORTUNITIES</t>
  </si>
  <si>
    <t>Classes → booking drop-off</t>
  </si>
  <si>
    <t>677 → 107 → 11 users</t>
  </si>
  <si>
    <t>138 displayed abandonments</t>
  </si>
  <si>
    <t>119 displayed abandonments</t>
  </si>
  <si>
    <t>Input validation friction</t>
  </si>
  <si>
    <t>invalid_input: 85; invalid_phone: 74</t>
  </si>
  <si>
    <t>Return-behaviour visual needs scope clarification</t>
  </si>
  <si>
    <t>606 one-time + 212 repeat = 818 vs 913 total-user KPI</t>
  </si>
  <si>
    <t>no of users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</si>
</sst>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b/>
      <sz val="11"/>
      <color rgb="FFFFFFFF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5B9BD5"/>
      </patternFill>
    </fill>
    <fill>
      <patternFill patternType="solid">
        <fgColor theme="4" tint="0.79998168889431442"/>
        <bgColor theme="4" tint="0.79998168889431442"/>
      </patternFill>
    </fill>
  </fills>
  <borders count="2">
    <border>
      <left/>
      <right/>
      <top/>
      <bottom/>
      <diagonal/>
    </border>
    <border>
      <left style="thin">
        <color rgb="FFD9E1F2"/>
      </left>
      <right style="thin">
        <color rgb="FFD9E1F2"/>
      </right>
      <top style="thin">
        <color rgb="FFD9E1F2"/>
      </top>
      <bottom style="thin">
        <color rgb="FFD9E1F2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2" borderId="1" xfId="0" applyFont="1" applyFill="1" applyBorder="1" applyAlignment="1">
      <alignment vertical="top" wrapText="1"/>
    </xf>
    <xf numFmtId="0" fontId="0" fillId="0" borderId="1" xfId="0" applyBorder="1" applyAlignment="1">
      <alignment vertical="top" wrapText="1"/>
    </xf>
    <xf numFmtId="4" fontId="0" fillId="0" borderId="1" xfId="0" applyNumberFormat="1" applyBorder="1" applyAlignment="1">
      <alignment vertical="top" wrapText="1"/>
    </xf>
    <xf numFmtId="10" fontId="0" fillId="0" borderId="1" xfId="0" applyNumberFormat="1" applyBorder="1" applyAlignment="1">
      <alignment vertical="top" wrapText="1"/>
    </xf>
    <xf numFmtId="0" fontId="1" fillId="3" borderId="1" xfId="0" applyFont="1" applyFill="1" applyBorder="1" applyAlignment="1">
      <alignment vertical="top" wrapText="1"/>
    </xf>
    <xf numFmtId="2" fontId="0" fillId="0" borderId="1" xfId="0" applyNumberFormat="1" applyBorder="1" applyAlignment="1">
      <alignment vertical="top" wrapText="1"/>
    </xf>
    <xf numFmtId="1" fontId="0" fillId="0" borderId="1" xfId="0" applyNumberFormat="1" applyBorder="1" applyAlignment="1">
      <alignment vertical="top" wrapText="1"/>
    </xf>
    <xf numFmtId="3" fontId="0" fillId="0" borderId="1" xfId="0" applyNumberFormat="1" applyBorder="1" applyAlignment="1">
      <alignment vertical="top" wrapText="1"/>
    </xf>
    <xf numFmtId="0" fontId="2" fillId="3" borderId="1" xfId="0" applyFont="1" applyFill="1" applyBorder="1" applyAlignment="1">
      <alignment vertical="top" wrapText="1"/>
    </xf>
    <xf numFmtId="10" fontId="0" fillId="4" borderId="1" xfId="0" applyNumberFormat="1" applyFont="1" applyFill="1" applyBorder="1" applyAlignment="1">
      <alignment vertical="top" wrapText="1"/>
    </xf>
    <xf numFmtId="10" fontId="0" fillId="0" borderId="1" xfId="0" applyNumberFormat="1" applyFont="1" applyBorder="1" applyAlignment="1">
      <alignment vertical="top" wrapText="1"/>
    </xf>
  </cellXfs>
  <cellStyles count="1">
    <cellStyle name="Normal" xfId="0" builtinId="0"/>
  </cellStyles>
  <dxfs count="5">
    <dxf>
      <numFmt numFmtId="0" formatCode="General"/>
    </dxf>
    <dxf>
      <alignment horizontal="general" vertical="top" textRotation="0" wrapText="1" indent="0" justifyLastLine="0" shrinkToFit="0" readingOrder="0"/>
      <border diagonalUp="0" diagonalDown="0">
        <left style="thin">
          <color rgb="FFD9E1F2"/>
        </left>
        <right style="thin">
          <color rgb="FFD9E1F2"/>
        </right>
        <top style="thin">
          <color rgb="FFD9E1F2"/>
        </top>
        <bottom style="thin">
          <color rgb="FFD9E1F2"/>
        </bottom>
        <vertical/>
        <horizontal/>
      </border>
    </dxf>
    <dxf>
      <numFmt numFmtId="1" formatCode="0"/>
    </dxf>
    <dxf>
      <border outline="0">
        <left style="thin">
          <color rgb="FFD9E1F2"/>
        </left>
      </border>
    </dxf>
    <dxf>
      <border outline="0">
        <right style="thin">
          <color rgb="FFD9E1F2"/>
        </right>
      </border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_01_User_Profile" displayName="T_01_User_Profile" ref="A1:B11">
  <autoFilter ref="A1:B11" xr:uid="{00000000-0009-0000-0100-000001000000}"/>
  <tableColumns count="2">
    <tableColumn id="1" xr3:uid="{00000000-0010-0000-0000-000001000000}" name="Metric"/>
    <tableColumn id="2" xr3:uid="{00000000-0010-0000-0000-000002000000}" name="Value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_02_User_Segments" displayName="T_02_User_Segments" ref="A1:I4">
  <autoFilter ref="A1:I4" xr:uid="{00000000-0009-0000-0100-000002000000}"/>
  <tableColumns count="9">
    <tableColumn id="2" xr3:uid="{00000000-0010-0000-0100-000002000000}" name="Segment"/>
    <tableColumn id="3" xr3:uid="{00000000-0010-0000-0100-000003000000}" name="Definition" dataDxfId="4"/>
    <tableColumn id="4" xr3:uid="{00000000-0010-0000-0100-000004000000}" name="Users" dataDxfId="2"/>
    <tableColumn id="5" xr3:uid="{00000000-0010-0000-0100-000005000000}" name="Percentage of Users" dataDxfId="3"/>
    <tableColumn id="6" xr3:uid="{00000000-0010-0000-0100-000006000000}" name="Avg Sessions"/>
    <tableColumn id="7" xr3:uid="{00000000-0010-0000-0100-000007000000}" name="Avg Pages Viewed"/>
    <tableColumn id="8" xr3:uid="{00000000-0010-0000-0100-000008000000}" name="Avg Events"/>
    <tableColumn id="9" xr3:uid="{00000000-0010-0000-0100-000009000000}" name="Avg Clicks"/>
    <tableColumn id="10" xr3:uid="{00000000-0010-0000-0100-00000A000000}" name="Avg Scroll Depth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_03_Device_Analysis" displayName="T_03_Device_Analysis" ref="A1:L5">
  <autoFilter ref="A1:L5" xr:uid="{00000000-0009-0000-0100-000003000000}"/>
  <tableColumns count="12">
    <tableColumn id="1" xr3:uid="{00000000-0010-0000-0200-000001000000}" name="Device"/>
    <tableColumn id="2" xr3:uid="{00000000-0010-0000-0200-000002000000}" name="no of users" dataDxfId="1"/>
    <tableColumn id="5" xr3:uid="{00000000-0010-0000-0200-000005000000}" name="Events"/>
    <tableColumn id="6" xr3:uid="{00000000-0010-0000-0200-000006000000}" name="Avg Pages/Session"/>
    <tableColumn id="7" xr3:uid="{00000000-0010-0000-0200-000007000000}" name="CTA Clicks"/>
    <tableColumn id="8" xr3:uid="{00000000-0010-0000-0200-000008000000}" name="Button Clicks"/>
    <tableColumn id="9" xr3:uid="{00000000-0010-0000-0200-000009000000}" name="Form Abandonments"/>
    <tableColumn id="10" xr3:uid="{00000000-0010-0000-0200-00000A000000}" name="Validation Errors"/>
    <tableColumn id="11" xr3:uid="{00000000-0010-0000-0200-00000B000000}" name="Repeat Users" dataDxfId="0">
      <calculatedColumnFormula array="1">COUNTA(_xlfn.UNIQUE(_xlfn._xlws.FILTER($A$2:$A$10000,($F$2:$F$10000=H2)*($M$2:$M$10000="Repeat User"))))</calculatedColumnFormula>
    </tableColumn>
    <tableColumn id="12" xr3:uid="{00000000-0010-0000-0200-00000C000000}" name="One-time Users"/>
    <tableColumn id="13" xr3:uid="{00000000-0010-0000-0200-00000D000000}" name="Repeat-user %"/>
    <tableColumn id="14" xr3:uid="{00000000-0010-0000-0200-00000E000000}" name="One-time-user %"/>
  </tableColumns>
  <tableStyleInfo name="TableStyleMedium2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_05_Navigation_Flows" displayName="T_05_Navigation_Flows" ref="A1:F183">
  <autoFilter ref="A1:F183" xr:uid="{00000000-0009-0000-0100-000005000000}"/>
  <tableColumns count="6">
    <tableColumn id="1" xr3:uid="{00000000-0010-0000-0400-000001000000}" name="from_page"/>
    <tableColumn id="2" xr3:uid="{00000000-0010-0000-0400-000002000000}" name="to_page"/>
    <tableColumn id="3" xr3:uid="{00000000-0010-0000-0400-000003000000}" name="Unique Users"/>
    <tableColumn id="4" xr3:uid="{00000000-0010-0000-0400-000004000000}" name="Unique Sessions"/>
    <tableColumn id="5" xr3:uid="{00000000-0010-0000-0400-000005000000}" name="Transitions"/>
    <tableColumn id="6" xr3:uid="{00000000-0010-0000-0400-000006000000}" name="% of All Transitions"/>
  </tableColumns>
  <tableStyleInfo name="TableStyleMedium2" showFirstColumn="0" showLastColumn="0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_06_Top_Navigation_Fl" displayName="T_06_Top_Navigation_Fl" ref="A1:G21">
  <autoFilter ref="A1:G21" xr:uid="{00000000-0009-0000-0100-000006000000}"/>
  <tableColumns count="7">
    <tableColumn id="1" xr3:uid="{00000000-0010-0000-0500-000001000000}" name="Rank"/>
    <tableColumn id="2" xr3:uid="{00000000-0010-0000-0500-000002000000}" name="from_page"/>
    <tableColumn id="3" xr3:uid="{00000000-0010-0000-0500-000003000000}" name="to_page"/>
    <tableColumn id="4" xr3:uid="{00000000-0010-0000-0500-000004000000}" name="Unique Users"/>
    <tableColumn id="5" xr3:uid="{00000000-0010-0000-0500-000005000000}" name="Unique Sessions"/>
    <tableColumn id="6" xr3:uid="{00000000-0010-0000-0500-000006000000}" name="Transitions"/>
    <tableColumn id="7" xr3:uid="{00000000-0010-0000-0500-000007000000}" name="% of All Transitions"/>
  </tableColumns>
  <tableStyleInfo name="TableStyleMedium2" showFirstColumn="0" showLastColumn="0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_07_Funnels" displayName="T_07_Funnels" ref="A1:G7">
  <autoFilter ref="A1:G7" xr:uid="{00000000-0009-0000-0100-000007000000}"/>
  <tableColumns count="7">
    <tableColumn id="1" xr3:uid="{00000000-0010-0000-0600-000001000000}" name="Funnel"/>
    <tableColumn id="2" xr3:uid="{00000000-0010-0000-0600-000002000000}" name="Stage"/>
    <tableColumn id="3" xr3:uid="{00000000-0010-0000-0600-000003000000}" name="Stage Name"/>
    <tableColumn id="4" xr3:uid="{00000000-0010-0000-0600-000004000000}" name="Users Reaching Stage"/>
    <tableColumn id="5" xr3:uid="{00000000-0010-0000-0600-000005000000}" name="Drop-off Count"/>
    <tableColumn id="6" xr3:uid="{00000000-0010-0000-0600-000006000000}" name="Drop-off %"/>
    <tableColumn id="7" xr3:uid="{00000000-0010-0000-0600-000007000000}" name="Continuation %"/>
  </tableColumns>
  <tableStyleInfo name="TableStyleMedium2" showFirstColumn="0" showLastColumn="0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00000000-000C-0000-FFFF-FFFF07000000}" name="T_08_CTA_Analysis" displayName="T_08_CTA_Analysis" ref="A1:F8">
  <autoFilter ref="A1:F8" xr:uid="{00000000-0009-0000-0100-000008000000}"/>
  <tableColumns count="6">
    <tableColumn id="1" xr3:uid="{00000000-0010-0000-0700-000001000000}" name="Rank"/>
    <tableColumn id="2" xr3:uid="{00000000-0010-0000-0700-000002000000}" name="CTA"/>
    <tableColumn id="3" xr3:uid="{00000000-0010-0000-0700-000003000000}" name="Unique Users"/>
    <tableColumn id="4" xr3:uid="{00000000-0010-0000-0700-000004000000}" name="Click Count"/>
    <tableColumn id="5" xr3:uid="{00000000-0010-0000-0700-000005000000}" name="Unique Sessions"/>
    <tableColumn id="6" xr3:uid="{00000000-0010-0000-0700-000006000000}" name="% of All Users"/>
  </tableColumns>
  <tableStyleInfo name="TableStyleMedium2" showFirstColumn="0" showLastColumn="0" showRowStripes="1" showColumnStripes="0"/>
</table>
</file>

<file path=xl/tables/table8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9" xr:uid="{00000000-000C-0000-FFFF-FFFF08000000}" name="T_09_Button_Analysis" displayName="T_09_Button_Analysis" ref="A1:F37">
  <autoFilter ref="A1:F37" xr:uid="{00000000-0009-0000-0100-000009000000}"/>
  <tableColumns count="6">
    <tableColumn id="1" xr3:uid="{00000000-0010-0000-0800-000001000000}" name="Rank"/>
    <tableColumn id="2" xr3:uid="{00000000-0010-0000-0800-000002000000}" name="Button"/>
    <tableColumn id="3" xr3:uid="{00000000-0010-0000-0800-000003000000}" name="Unique Users"/>
    <tableColumn id="4" xr3:uid="{00000000-0010-0000-0800-000004000000}" name="Click Count"/>
    <tableColumn id="5" xr3:uid="{00000000-0010-0000-0800-000005000000}" name="Unique Sessions"/>
    <tableColumn id="6" xr3:uid="{00000000-0010-0000-0800-000006000000}" name="% of All Users"/>
  </tableColumns>
  <tableStyleInfo name="TableStyleMedium2" showFirstColumn="0" showLastColumn="0" showRowStripes="1" showColumnStripes="0"/>
</table>
</file>

<file path=xl/tables/table9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00000000-000C-0000-FFFF-FFFF09000000}" name="T_10_Exit_Analysis" displayName="T_10_Exit_Analysis" ref="A1:D13">
  <autoFilter ref="A1:D13" xr:uid="{00000000-0009-0000-0100-00000A000000}"/>
  <tableColumns count="4">
    <tableColumn id="1" xr3:uid="{00000000-0010-0000-0900-000001000000}" name="Page"/>
    <tableColumn id="2" xr3:uid="{00000000-0010-0000-0900-000002000000}" name="Exit Users"/>
    <tableColumn id="3" xr3:uid="{00000000-0010-0000-0900-000003000000}" name="Exit Count"/>
    <tableColumn id="4" xr3:uid="{00000000-0010-0000-0900-000004000000}" name="Unique Exit Sessions"/>
  </tableColumns>
  <tableStyleInfo name="TableStyleMedium2" showFirstColumn="0" showLastColumn="0" showRowStripes="1" showColumnStripes="0"/>
</table>
</file>

<file path=xl/tables/table10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1" xr:uid="{00000000-000C-0000-FFFF-FFFF0A000000}" name="T_11_Exit_Reason_By_Pa" displayName="T_11_Exit_Reason_By_Pa" ref="A1:E61">
  <autoFilter ref="A1:E61" xr:uid="{00000000-0009-0000-0100-00000B000000}"/>
  <tableColumns count="5">
    <tableColumn id="1" xr3:uid="{00000000-0010-0000-0A00-000001000000}" name="Page"/>
    <tableColumn id="2" xr3:uid="{00000000-0010-0000-0A00-000002000000}" name="Recorded Exit Reason"/>
    <tableColumn id="3" xr3:uid="{00000000-0010-0000-0A00-000003000000}" name="Exit Users"/>
    <tableColumn id="4" xr3:uid="{00000000-0010-0000-0A00-000004000000}" name="Exit Count"/>
    <tableColumn id="5" xr3:uid="{00000000-0010-0000-0A00-000005000000}" name="Unique Sessions"/>
  </tableColumns>
  <tableStyleInfo name="TableStyleMedium2" showFirstColumn="0" showLastColumn="0" showRowStripes="1" showColumnStripes="0"/>
</table>
</file>

<file path=xl/tables/table1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2" xr:uid="{00000000-000C-0000-FFFF-FFFF0B000000}" name="T_12_Form_Analysis" displayName="T_12_Form_Analysis" ref="A1:D7">
  <autoFilter ref="A1:D7" xr:uid="{00000000-0009-0000-0100-00000C000000}"/>
  <tableColumns count="4">
    <tableColumn id="1" xr3:uid="{00000000-0010-0000-0B00-000001000000}" name="Form"/>
    <tableColumn id="2" xr3:uid="{00000000-0010-0000-0B00-000002000000}" name="Forms Started"/>
    <tableColumn id="3" xr3:uid="{00000000-0010-0000-0B00-000003000000}" name="Forms Submitted"/>
    <tableColumn id="4" xr3:uid="{00000000-0010-0000-0B00-000004000000}" name="Forms Abandoned">
      <calculatedColumnFormula>T_12_Form_Analysis[[#This Row],[Forms Started]]-T_12_Form_Analysis[[#This Row],[Forms Submitted]]</calculatedColumnFormula>
    </tableColumn>
  </tableColumns>
  <tableStyleInfo name="TableStyleMedium2" showFirstColumn="0" showLastColumn="0" showRowStripes="1" showColumnStripes="0"/>
</table>
</file>

<file path=xl/tables/table1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3" xr:uid="{00000000-000C-0000-FFFF-FFFF0C000000}" name="T_13_Validation_Errors" displayName="T_13_Validation_Errors" ref="A1:D7">
  <autoFilter ref="A1:D7" xr:uid="{00000000-0009-0000-0100-00000D000000}"/>
  <tableColumns count="4">
    <tableColumn id="1" xr3:uid="{00000000-0010-0000-0C00-000001000000}" name="Error Type"/>
    <tableColumn id="2" xr3:uid="{00000000-0010-0000-0C00-000002000000}" name="Error Count"/>
    <tableColumn id="3" xr3:uid="{00000000-0010-0000-0C00-000003000000}" name="Users Encountering Error"/>
    <tableColumn id="4" xr3:uid="{00000000-0010-0000-0C00-000004000000}" name="Sessions With Error"/>
  </tableColumns>
  <tableStyleInfo name="TableStyleMedium2" showFirstColumn="0" showLastColumn="0" showRowStripes="1" showColumnStripes="0"/>
</table>
</file>

<file path=xl/tables/table1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4" xr:uid="{00000000-000C-0000-FFFF-FFFF0D000000}" name="T_14_Scroll_Analysis" displayName="T_14_Scroll_Analysis" ref="A1:B6">
  <autoFilter ref="A1:B6" xr:uid="{00000000-0009-0000-0100-00000E000000}"/>
  <tableColumns count="2">
    <tableColumn id="1" xr3:uid="{00000000-0010-0000-0D00-000001000000}" name="Scroll Depth %"/>
    <tableColumn id="2" xr3:uid="{00000000-0010-0000-0D00-000002000000}" name="Event Count"/>
  </tableColumns>
  <tableStyleInfo name="TableStyleMedium2" showFirstColumn="0" showLastColumn="0" showRowStripes="1" showColumnStripes="0"/>
</table>
</file>

<file path=xl/tables/table1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5" xr:uid="{00000000-000C-0000-FFFF-FFFF0E000000}" name="T_15_Correlation" displayName="T_15_Correlation" ref="A1:J11">
  <autoFilter ref="A1:J11" xr:uid="{00000000-0009-0000-0100-00000F000000}"/>
  <tableColumns count="10">
    <tableColumn id="1" xr3:uid="{00000000-0010-0000-0E00-000001000000}" name="Variable"/>
    <tableColumn id="2" xr3:uid="{00000000-0010-0000-0E00-000002000000}" name="sessions"/>
    <tableColumn id="3" xr3:uid="{00000000-0010-0000-0E00-000003000000}" name="pages_viewed"/>
    <tableColumn id="4" xr3:uid="{00000000-0010-0000-0E00-000004000000}" name="events"/>
    <tableColumn id="5" xr3:uid="{00000000-0010-0000-0E00-000005000000}" name="cta_clicks"/>
    <tableColumn id="6" xr3:uid="{00000000-0010-0000-0E00-000006000000}" name="button_clicks"/>
    <tableColumn id="7" xr3:uid="{00000000-0010-0000-0E00-000007000000}" name="avg_scroll_depth"/>
    <tableColumn id="8" xr3:uid="{00000000-0010-0000-0E00-000008000000}" name="form_abandonments"/>
    <tableColumn id="9" xr3:uid="{00000000-0010-0000-0E00-000009000000}" name="validation_errors"/>
    <tableColumn id="10" xr3:uid="{00000000-0010-0000-0E00-00000A000000}" name="pages_per_session"/>
  </tableColumns>
  <tableStyleInfo name="TableStyleMedium2" showFirstColumn="0" showLastColumn="0" showRowStripes="1" showColumnStripes="0"/>
</table>
</file>

<file path=xl/tables/table1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6" xr:uid="{00000000-000C-0000-FFFF-FFFF0F000000}" name="T_16_UX_Insights" displayName="T_16_UX_Insights" ref="A1:G13">
  <autoFilter ref="A1:G13" xr:uid="{00000000-0009-0000-0100-000010000000}"/>
  <tableColumns count="7">
    <tableColumn id="1" xr3:uid="{00000000-0010-0000-0F00-000001000000}" name="Category"/>
    <tableColumn id="2" xr3:uid="{00000000-0010-0000-0F00-000002000000}" name="Metric"/>
    <tableColumn id="3" xr3:uid="{00000000-0010-0000-0F00-000003000000}" name="Finding"/>
    <tableColumn id="4" xr3:uid="{00000000-0010-0000-0F00-000004000000}" name="Evidence"/>
    <tableColumn id="5" xr3:uid="{00000000-0010-0000-0F00-000005000000}" name="UX Interpretation"/>
    <tableColumn id="6" xr3:uid="{00000000-0010-0000-0F00-000006000000}" name="Potential Recommendation"/>
    <tableColumn id="7" xr3:uid="{00000000-0010-0000-0F00-000007000000}" name="Priority"/>
  </tableColumns>
  <tableStyleInfo name="TableStyleMedium2" showFirstColumn="0" showLastColumn="0" showRowStripes="1" showColumnStripes="0"/>
</table>
</file>

<file path=xl/tables/table1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7" xr:uid="{00000000-000C-0000-FFFF-FFFF10000000}" name="T_17_Executive_Summary" displayName="T_17_Executive_Summary" ref="A1:E13">
  <autoFilter ref="A1:E13" xr:uid="{00000000-0009-0000-0100-000011000000}"/>
  <tableColumns count="5">
    <tableColumn id="1" xr3:uid="{00000000-0010-0000-1000-000001000000}" name="#"/>
    <tableColumn id="2" xr3:uid="{00000000-0010-0000-1000-000002000000}" name="Key Finding"/>
    <tableColumn id="3" xr3:uid="{00000000-0010-0000-1000-000003000000}" name="Supporting Metric / Evidence"/>
    <tableColumn id="4" xr3:uid="{00000000-0010-0000-1000-000004000000}" name="UX Meaning"/>
    <tableColumn id="5" xr3:uid="{00000000-0010-0000-1000-000005000000}" name="Recommended Action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table" Target="../tables/table8.xml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table" Target="../tables/table9.x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0.xml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1.xml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2.xml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3.xml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4.xml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5.xm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1"/>
  <sheetViews>
    <sheetView workbookViewId="0">
      <pane ySplit="1" topLeftCell="A2" activePane="bottomLeft" state="frozen"/>
      <selection pane="bottomLeft" activeCell="H14" sqref="H14"/>
    </sheetView>
  </sheetViews>
  <sheetFormatPr defaultRowHeight="14.3" x14ac:dyDescent="0.25"/>
  <cols>
    <col min="1" max="1" width="29" customWidth="1"/>
    <col min="2" max="2" width="21" customWidth="1"/>
  </cols>
  <sheetData>
    <row r="1" spans="1:2" x14ac:dyDescent="0.25">
      <c r="A1" s="5" t="s">
        <v>0</v>
      </c>
      <c r="B1" s="5" t="s">
        <v>1</v>
      </c>
    </row>
    <row r="2" spans="1:2" x14ac:dyDescent="0.25">
      <c r="A2" s="2" t="s">
        <v>2</v>
      </c>
      <c r="B2" s="3">
        <v>913</v>
      </c>
    </row>
    <row r="3" spans="1:2" x14ac:dyDescent="0.25">
      <c r="A3" s="2" t="s">
        <v>3</v>
      </c>
      <c r="B3" s="3">
        <v>2027</v>
      </c>
    </row>
    <row r="4" spans="1:2" x14ac:dyDescent="0.25">
      <c r="A4" s="2" t="s">
        <v>4</v>
      </c>
      <c r="B4" s="3">
        <v>53523</v>
      </c>
    </row>
    <row r="5" spans="1:2" x14ac:dyDescent="0.25">
      <c r="A5" s="2" t="s">
        <v>5</v>
      </c>
      <c r="B5" s="3">
        <v>2.2201533406352678</v>
      </c>
    </row>
    <row r="6" spans="1:2" x14ac:dyDescent="0.25">
      <c r="A6" s="2" t="s">
        <v>6</v>
      </c>
      <c r="B6" s="3">
        <v>26.405032067094229</v>
      </c>
    </row>
    <row r="7" spans="1:2" x14ac:dyDescent="0.25">
      <c r="A7" s="2" t="s">
        <v>7</v>
      </c>
      <c r="B7" s="3">
        <v>58.623220153340633</v>
      </c>
    </row>
    <row r="8" spans="1:2" x14ac:dyDescent="0.25">
      <c r="A8" s="2" t="s">
        <v>8</v>
      </c>
      <c r="B8" s="7">
        <f>B2*B10</f>
        <v>676.35040000000004</v>
      </c>
    </row>
    <row r="9" spans="1:2" x14ac:dyDescent="0.25">
      <c r="A9" s="2" t="s">
        <v>9</v>
      </c>
      <c r="B9" s="8">
        <f>B2*B11</f>
        <v>236.64959999999999</v>
      </c>
    </row>
    <row r="10" spans="1:2" x14ac:dyDescent="0.25">
      <c r="A10" s="2" t="s">
        <v>10</v>
      </c>
      <c r="B10" s="4">
        <v>0.74080000000000001</v>
      </c>
    </row>
    <row r="11" spans="1:2" x14ac:dyDescent="0.25">
      <c r="A11" s="2" t="s">
        <v>11</v>
      </c>
      <c r="B11" s="4">
        <v>0.25919999999999999</v>
      </c>
    </row>
  </sheetData>
  <pageMargins left="0.75" right="0.75" top="1" bottom="1" header="0.5" footer="0.5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I4"/>
  <sheetViews>
    <sheetView workbookViewId="0">
      <pane ySplit="1" topLeftCell="A2" activePane="bottomLeft" state="frozen"/>
      <selection pane="bottomLeft" activeCell="A4" sqref="A4"/>
    </sheetView>
  </sheetViews>
  <sheetFormatPr defaultRowHeight="14.3" x14ac:dyDescent="0.25"/>
  <cols>
    <col min="1" max="1" width="24" customWidth="1"/>
    <col min="2" max="2" width="55" customWidth="1"/>
    <col min="3" max="3" width="12" customWidth="1"/>
    <col min="4" max="4" width="22" customWidth="1"/>
    <col min="5" max="5" width="20" customWidth="1"/>
    <col min="6" max="6" width="21" customWidth="1"/>
    <col min="7" max="9" width="20" customWidth="1"/>
  </cols>
  <sheetData>
    <row r="1" spans="1:9" x14ac:dyDescent="0.25">
      <c r="A1" s="5" t="s">
        <v>12</v>
      </c>
      <c r="B1" s="5" t="s">
        <v>13</v>
      </c>
      <c r="C1" s="5" t="s">
        <v>14</v>
      </c>
      <c r="D1" s="5" t="s">
        <v>15</v>
      </c>
      <c r="E1" s="5" t="s">
        <v>16</v>
      </c>
      <c r="F1" s="5" t="s">
        <v>17</v>
      </c>
      <c r="G1" s="5" t="s">
        <v>18</v>
      </c>
      <c r="H1" s="5" t="s">
        <v>19</v>
      </c>
      <c r="I1" s="5" t="s">
        <v>20</v>
      </c>
    </row>
    <row r="2" spans="1:9" ht="42.8" x14ac:dyDescent="0.25">
      <c r="A2" s="2" t="s">
        <v>23</v>
      </c>
      <c r="B2" s="2" t="s">
        <v>24</v>
      </c>
      <c r="C2" s="7">
        <f>913*T_02_User_Segments[[#This Row],[Percentage of Users]]</f>
        <v>105.908</v>
      </c>
      <c r="D2" s="4">
        <v>0.11600000000000001</v>
      </c>
      <c r="E2" s="3">
        <v>3</v>
      </c>
      <c r="F2" s="6">
        <f>0.71551724137931+1</f>
        <v>1.7155172413793101</v>
      </c>
      <c r="G2" s="3">
        <v>35.689655172413786</v>
      </c>
      <c r="H2" s="3">
        <v>2.0172413793103452</v>
      </c>
      <c r="I2" s="3">
        <v>40.549250601938887</v>
      </c>
    </row>
    <row r="3" spans="1:9" ht="42.8" x14ac:dyDescent="0.25">
      <c r="A3" s="2" t="s">
        <v>25</v>
      </c>
      <c r="B3" s="2" t="s">
        <v>24</v>
      </c>
      <c r="C3" s="7">
        <f>913*T_02_User_Segments[[#This Row],[Percentage of Users]]</f>
        <v>708.48800000000006</v>
      </c>
      <c r="D3" s="4">
        <v>0.77600000000000002</v>
      </c>
      <c r="E3" s="3">
        <v>3.0154639175257731</v>
      </c>
      <c r="F3" s="3">
        <v>2.144329896907216</v>
      </c>
      <c r="G3" s="3">
        <v>53.52835051546392</v>
      </c>
      <c r="H3" s="3">
        <v>4.8067010309278349</v>
      </c>
      <c r="I3" s="3">
        <v>62.87932002504003</v>
      </c>
    </row>
    <row r="4" spans="1:9" ht="42.8" x14ac:dyDescent="0.25">
      <c r="A4" s="2" t="s">
        <v>26</v>
      </c>
      <c r="B4" s="2" t="s">
        <v>24</v>
      </c>
      <c r="C4" s="7">
        <f>913*T_02_User_Segments[[#This Row],[Percentage of Users]]</f>
        <v>98.603999999999999</v>
      </c>
      <c r="D4" s="4">
        <v>0.108</v>
      </c>
      <c r="E4" s="3">
        <v>3.2870370370370372</v>
      </c>
      <c r="F4" s="3">
        <v>4.7592592592592604</v>
      </c>
      <c r="G4" s="3">
        <v>72.638888888888886</v>
      </c>
      <c r="H4" s="3">
        <v>8.5</v>
      </c>
      <c r="I4" s="3">
        <v>74.005945752304797</v>
      </c>
    </row>
  </sheetData>
  <pageMargins left="0.75" right="0.75" top="1" bottom="1" header="0.5" footer="0.5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N12"/>
  <sheetViews>
    <sheetView workbookViewId="0">
      <pane ySplit="1" topLeftCell="A2" activePane="bottomLeft" state="frozen"/>
      <selection pane="bottomLeft" activeCell="D10" sqref="D10"/>
    </sheetView>
  </sheetViews>
  <sheetFormatPr defaultRowHeight="14.3" x14ac:dyDescent="0.25"/>
  <cols>
    <col min="1" max="1" width="34" customWidth="1"/>
    <col min="2" max="2" width="15" customWidth="1"/>
    <col min="3" max="3" width="45" customWidth="1"/>
    <col min="4" max="4" width="21" customWidth="1"/>
    <col min="5" max="5" width="13" customWidth="1"/>
    <col min="6" max="6" width="16" customWidth="1"/>
    <col min="7" max="8" width="20" customWidth="1"/>
    <col min="9" max="9" width="15" customWidth="1"/>
    <col min="10" max="10" width="17" customWidth="1"/>
    <col min="11" max="11" width="16" customWidth="1"/>
    <col min="12" max="12" width="18" customWidth="1"/>
    <col min="13" max="13" width="33" customWidth="1"/>
    <col min="14" max="14" width="34" customWidth="1"/>
  </cols>
  <sheetData>
    <row r="1" spans="1:14" x14ac:dyDescent="0.25">
      <c r="A1" s="5" t="s">
        <v>27</v>
      </c>
      <c r="B1" s="9" t="s">
        <v>366</v>
      </c>
      <c r="C1" s="5" t="s">
        <v>30</v>
      </c>
      <c r="D1" s="5" t="s">
        <v>31</v>
      </c>
      <c r="E1" s="5" t="s">
        <v>32</v>
      </c>
      <c r="F1" s="5" t="s">
        <v>33</v>
      </c>
      <c r="G1" s="5" t="s">
        <v>34</v>
      </c>
      <c r="H1" s="5" t="s">
        <v>35</v>
      </c>
      <c r="I1" s="5" t="s">
        <v>36</v>
      </c>
      <c r="J1" s="5" t="s">
        <v>37</v>
      </c>
      <c r="K1" s="5" t="s">
        <v>38</v>
      </c>
      <c r="L1" s="5" t="s">
        <v>39</v>
      </c>
      <c r="M1" s="5" t="s">
        <v>40</v>
      </c>
      <c r="N1" s="5" t="s">
        <v>41</v>
      </c>
    </row>
    <row r="2" spans="1:14" x14ac:dyDescent="0.25">
      <c r="A2" s="2" t="s">
        <v>42</v>
      </c>
      <c r="B2" s="2">
        <v>451</v>
      </c>
      <c r="C2" s="2">
        <v>32205</v>
      </c>
      <c r="D2" s="4">
        <v>0.55000000000000004</v>
      </c>
      <c r="E2" s="2">
        <v>1026</v>
      </c>
      <c r="F2" s="2">
        <v>1591</v>
      </c>
      <c r="G2" s="2">
        <v>225</v>
      </c>
      <c r="H2" s="2">
        <v>296</v>
      </c>
      <c r="I2">
        <v>114</v>
      </c>
      <c r="J2" s="2">
        <v>337</v>
      </c>
      <c r="K2" s="4">
        <v>0.25280000000000002</v>
      </c>
      <c r="L2" s="4">
        <v>0.74719999999999998</v>
      </c>
      <c r="M2" s="2">
        <v>1650</v>
      </c>
      <c r="N2" s="2" t="s">
        <v>43</v>
      </c>
    </row>
    <row r="3" spans="1:14" x14ac:dyDescent="0.25">
      <c r="A3" s="2" t="s">
        <v>44</v>
      </c>
      <c r="B3" s="2">
        <v>290</v>
      </c>
      <c r="C3" s="2">
        <v>15789</v>
      </c>
      <c r="D3" s="4">
        <v>0.40271966527196651</v>
      </c>
      <c r="E3" s="2">
        <v>647</v>
      </c>
      <c r="F3" s="2">
        <v>1175</v>
      </c>
      <c r="G3" s="2">
        <v>171</v>
      </c>
      <c r="H3" s="2">
        <v>229</v>
      </c>
      <c r="I3">
        <v>80</v>
      </c>
      <c r="J3" s="2">
        <v>210</v>
      </c>
      <c r="K3" s="4">
        <v>0.27589999999999998</v>
      </c>
      <c r="L3" s="4">
        <v>0.72409999999999997</v>
      </c>
      <c r="M3" s="2">
        <v>1155</v>
      </c>
      <c r="N3" s="2" t="s">
        <v>45</v>
      </c>
    </row>
    <row r="4" spans="1:14" x14ac:dyDescent="0.25">
      <c r="A4" s="2" t="s">
        <v>46</v>
      </c>
      <c r="B4" s="2">
        <v>77</v>
      </c>
      <c r="C4" s="2">
        <v>5529</v>
      </c>
      <c r="D4" s="4">
        <v>0.1341816078658184</v>
      </c>
      <c r="E4" s="2">
        <v>167</v>
      </c>
      <c r="F4" s="2">
        <v>276</v>
      </c>
      <c r="G4" s="2">
        <v>38</v>
      </c>
      <c r="H4" s="2">
        <v>41</v>
      </c>
      <c r="I4">
        <v>18</v>
      </c>
      <c r="J4" s="2">
        <v>59</v>
      </c>
      <c r="K4" s="4">
        <v>0.23380000000000001</v>
      </c>
      <c r="L4" s="4">
        <v>0.76619999999999999</v>
      </c>
      <c r="M4" s="2">
        <v>232</v>
      </c>
      <c r="N4" s="2" t="s">
        <v>47</v>
      </c>
    </row>
    <row r="7" spans="1:14" x14ac:dyDescent="0.25">
      <c r="A7" s="1" t="s">
        <v>48</v>
      </c>
    </row>
    <row r="8" spans="1:14" x14ac:dyDescent="0.25">
      <c r="A8" s="1" t="s">
        <v>49</v>
      </c>
      <c r="B8" s="1" t="s">
        <v>27</v>
      </c>
      <c r="C8" s="1" t="s">
        <v>50</v>
      </c>
    </row>
    <row r="9" spans="1:14" ht="61.15" customHeight="1" x14ac:dyDescent="0.25">
      <c r="A9" s="2" t="s">
        <v>51</v>
      </c>
      <c r="B9" s="2" t="s">
        <v>42</v>
      </c>
      <c r="C9" s="2" t="s">
        <v>52</v>
      </c>
    </row>
    <row r="10" spans="1:14" ht="28.55" x14ac:dyDescent="0.25">
      <c r="A10" s="2" t="s">
        <v>53</v>
      </c>
      <c r="B10" s="2" t="s">
        <v>46</v>
      </c>
      <c r="C10" s="2" t="s">
        <v>54</v>
      </c>
    </row>
    <row r="11" spans="1:14" ht="28.55" x14ac:dyDescent="0.25">
      <c r="A11" s="2" t="s">
        <v>55</v>
      </c>
      <c r="B11" s="2" t="s">
        <v>44</v>
      </c>
      <c r="C11" s="2" t="s">
        <v>56</v>
      </c>
    </row>
    <row r="12" spans="1:14" ht="28.55" x14ac:dyDescent="0.25">
      <c r="A12" s="2" t="s">
        <v>57</v>
      </c>
      <c r="B12" s="2" t="s">
        <v>42</v>
      </c>
      <c r="C12" s="2" t="s">
        <v>58</v>
      </c>
    </row>
  </sheetData>
  <pageMargins left="0.75" right="0.75" top="1" bottom="1" header="0.5" footer="0.5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83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2" width="24" customWidth="1"/>
    <col min="3" max="3" width="15" customWidth="1"/>
    <col min="4" max="4" width="18" customWidth="1"/>
    <col min="5" max="5" width="14" customWidth="1"/>
    <col min="6" max="6" width="23" customWidth="1"/>
    <col min="7" max="7" width="55" customWidth="1"/>
  </cols>
  <sheetData>
    <row r="1" spans="1:7" x14ac:dyDescent="0.25">
      <c r="A1" s="5" t="s">
        <v>76</v>
      </c>
      <c r="B1" s="5" t="s">
        <v>77</v>
      </c>
      <c r="C1" s="5" t="s">
        <v>28</v>
      </c>
      <c r="D1" s="5" t="s">
        <v>29</v>
      </c>
      <c r="E1" s="5" t="s">
        <v>78</v>
      </c>
      <c r="F1" s="5" t="s">
        <v>79</v>
      </c>
      <c r="G1" s="5" t="s">
        <v>21</v>
      </c>
    </row>
    <row r="2" spans="1:7" x14ac:dyDescent="0.25">
      <c r="A2" s="2" t="s">
        <v>71</v>
      </c>
      <c r="B2" s="2" t="s">
        <v>66</v>
      </c>
      <c r="C2" s="2">
        <v>37</v>
      </c>
      <c r="D2" s="2">
        <v>37</v>
      </c>
      <c r="E2" s="2">
        <v>37</v>
      </c>
      <c r="F2" s="4">
        <v>8.6206896551724137E-3</v>
      </c>
      <c r="G2" s="2"/>
    </row>
    <row r="3" spans="1:7" x14ac:dyDescent="0.25">
      <c r="A3" s="2" t="s">
        <v>70</v>
      </c>
      <c r="B3" s="2" t="s">
        <v>75</v>
      </c>
      <c r="C3" s="2">
        <v>35</v>
      </c>
      <c r="D3" s="2">
        <v>35</v>
      </c>
      <c r="E3" s="2">
        <v>35</v>
      </c>
      <c r="F3" s="4">
        <v>8.1547064305684987E-3</v>
      </c>
    </row>
    <row r="4" spans="1:7" x14ac:dyDescent="0.25">
      <c r="A4" s="2" t="s">
        <v>68</v>
      </c>
      <c r="B4" s="2" t="s">
        <v>70</v>
      </c>
      <c r="C4" s="2">
        <v>34</v>
      </c>
      <c r="D4" s="2">
        <v>35</v>
      </c>
      <c r="E4" s="2">
        <v>35</v>
      </c>
      <c r="F4" s="4">
        <v>8.1547064305684987E-3</v>
      </c>
    </row>
    <row r="5" spans="1:7" x14ac:dyDescent="0.25">
      <c r="A5" s="2" t="s">
        <v>69</v>
      </c>
      <c r="B5" s="2" t="s">
        <v>63</v>
      </c>
      <c r="C5" s="2">
        <v>33</v>
      </c>
      <c r="D5" s="2">
        <v>34</v>
      </c>
      <c r="E5" s="2">
        <v>34</v>
      </c>
      <c r="F5" s="4">
        <v>7.9217148182665429E-3</v>
      </c>
    </row>
    <row r="6" spans="1:7" x14ac:dyDescent="0.25">
      <c r="A6" s="2" t="s">
        <v>62</v>
      </c>
      <c r="B6" s="2" t="s">
        <v>73</v>
      </c>
      <c r="C6" s="2">
        <v>32</v>
      </c>
      <c r="D6" s="2">
        <v>32</v>
      </c>
      <c r="E6" s="2">
        <v>32</v>
      </c>
      <c r="F6" s="4">
        <v>7.4557315936626279E-3</v>
      </c>
    </row>
    <row r="7" spans="1:7" x14ac:dyDescent="0.25">
      <c r="A7" s="2" t="s">
        <v>67</v>
      </c>
      <c r="B7" s="2" t="s">
        <v>68</v>
      </c>
      <c r="C7" s="2">
        <v>32</v>
      </c>
      <c r="D7" s="2">
        <v>32</v>
      </c>
      <c r="E7" s="2">
        <v>32</v>
      </c>
      <c r="F7" s="4">
        <v>7.4557315936626279E-3</v>
      </c>
    </row>
    <row r="8" spans="1:7" x14ac:dyDescent="0.25">
      <c r="A8" s="2" t="s">
        <v>70</v>
      </c>
      <c r="B8" s="2" t="s">
        <v>67</v>
      </c>
      <c r="C8" s="2">
        <v>32</v>
      </c>
      <c r="D8" s="2">
        <v>32</v>
      </c>
      <c r="E8" s="2">
        <v>32</v>
      </c>
      <c r="F8" s="4">
        <v>7.4557315936626279E-3</v>
      </c>
    </row>
    <row r="9" spans="1:7" x14ac:dyDescent="0.25">
      <c r="A9" s="2" t="s">
        <v>63</v>
      </c>
      <c r="B9" s="2" t="s">
        <v>71</v>
      </c>
      <c r="C9" s="2">
        <v>31</v>
      </c>
      <c r="D9" s="2">
        <v>32</v>
      </c>
      <c r="E9" s="2">
        <v>32</v>
      </c>
      <c r="F9" s="4">
        <v>7.4557315936626279E-3</v>
      </c>
    </row>
    <row r="10" spans="1:7" x14ac:dyDescent="0.25">
      <c r="A10" s="2" t="s">
        <v>64</v>
      </c>
      <c r="B10" s="2" t="s">
        <v>63</v>
      </c>
      <c r="C10" s="2">
        <v>31</v>
      </c>
      <c r="D10" s="2">
        <v>31</v>
      </c>
      <c r="E10" s="2">
        <v>31</v>
      </c>
      <c r="F10" s="4">
        <v>7.2227399813606713E-3</v>
      </c>
    </row>
    <row r="11" spans="1:7" x14ac:dyDescent="0.25">
      <c r="A11" s="2" t="s">
        <v>71</v>
      </c>
      <c r="B11" s="2" t="s">
        <v>63</v>
      </c>
      <c r="C11" s="2">
        <v>31</v>
      </c>
      <c r="D11" s="2">
        <v>31</v>
      </c>
      <c r="E11" s="2">
        <v>31</v>
      </c>
      <c r="F11" s="4">
        <v>7.2227399813606713E-3</v>
      </c>
    </row>
    <row r="12" spans="1:7" x14ac:dyDescent="0.25">
      <c r="A12" s="2" t="s">
        <v>72</v>
      </c>
      <c r="B12" s="2" t="s">
        <v>75</v>
      </c>
      <c r="C12" s="2">
        <v>31</v>
      </c>
      <c r="D12" s="2">
        <v>31</v>
      </c>
      <c r="E12" s="2">
        <v>31</v>
      </c>
      <c r="F12" s="4">
        <v>7.2227399813606713E-3</v>
      </c>
    </row>
    <row r="13" spans="1:7" x14ac:dyDescent="0.25">
      <c r="A13" s="2" t="s">
        <v>74</v>
      </c>
      <c r="B13" s="2" t="s">
        <v>62</v>
      </c>
      <c r="C13" s="2">
        <v>31</v>
      </c>
      <c r="D13" s="2">
        <v>31</v>
      </c>
      <c r="E13" s="2">
        <v>31</v>
      </c>
      <c r="F13" s="4">
        <v>7.2227399813606713E-3</v>
      </c>
    </row>
    <row r="14" spans="1:7" x14ac:dyDescent="0.25">
      <c r="A14" s="2" t="s">
        <v>75</v>
      </c>
      <c r="B14" s="2" t="s">
        <v>64</v>
      </c>
      <c r="C14" s="2">
        <v>31</v>
      </c>
      <c r="D14" s="2">
        <v>31</v>
      </c>
      <c r="E14" s="2">
        <v>31</v>
      </c>
      <c r="F14" s="4">
        <v>7.2227399813606713E-3</v>
      </c>
    </row>
    <row r="15" spans="1:7" x14ac:dyDescent="0.25">
      <c r="A15" s="2" t="s">
        <v>64</v>
      </c>
      <c r="B15" s="2" t="s">
        <v>71</v>
      </c>
      <c r="C15" s="2">
        <v>30</v>
      </c>
      <c r="D15" s="2">
        <v>30</v>
      </c>
      <c r="E15" s="2">
        <v>30</v>
      </c>
      <c r="F15" s="4">
        <v>6.9897483690587138E-3</v>
      </c>
    </row>
    <row r="16" spans="1:7" x14ac:dyDescent="0.25">
      <c r="A16" s="2" t="s">
        <v>72</v>
      </c>
      <c r="B16" s="2" t="s">
        <v>62</v>
      </c>
      <c r="C16" s="2">
        <v>30</v>
      </c>
      <c r="D16" s="2">
        <v>30</v>
      </c>
      <c r="E16" s="2">
        <v>30</v>
      </c>
      <c r="F16" s="4">
        <v>6.9897483690587138E-3</v>
      </c>
    </row>
    <row r="17" spans="1:6" x14ac:dyDescent="0.25">
      <c r="A17" s="2" t="s">
        <v>64</v>
      </c>
      <c r="B17" s="2" t="s">
        <v>69</v>
      </c>
      <c r="C17" s="2">
        <v>29</v>
      </c>
      <c r="D17" s="2">
        <v>30</v>
      </c>
      <c r="E17" s="2">
        <v>30</v>
      </c>
      <c r="F17" s="4">
        <v>6.9897483690587138E-3</v>
      </c>
    </row>
    <row r="18" spans="1:6" x14ac:dyDescent="0.25">
      <c r="A18" s="2" t="s">
        <v>71</v>
      </c>
      <c r="B18" s="2" t="s">
        <v>68</v>
      </c>
      <c r="C18" s="2">
        <v>29</v>
      </c>
      <c r="D18" s="2">
        <v>30</v>
      </c>
      <c r="E18" s="2">
        <v>30</v>
      </c>
      <c r="F18" s="4">
        <v>6.9897483690587138E-3</v>
      </c>
    </row>
    <row r="19" spans="1:6" x14ac:dyDescent="0.25">
      <c r="A19" s="2" t="s">
        <v>74</v>
      </c>
      <c r="B19" s="2" t="s">
        <v>65</v>
      </c>
      <c r="C19" s="2">
        <v>29</v>
      </c>
      <c r="D19" s="2">
        <v>30</v>
      </c>
      <c r="E19" s="2">
        <v>30</v>
      </c>
      <c r="F19" s="4">
        <v>6.9897483690587138E-3</v>
      </c>
    </row>
    <row r="20" spans="1:6" x14ac:dyDescent="0.25">
      <c r="A20" s="2" t="s">
        <v>65</v>
      </c>
      <c r="B20" s="2" t="s">
        <v>72</v>
      </c>
      <c r="C20" s="2">
        <v>28</v>
      </c>
      <c r="D20" s="2">
        <v>30</v>
      </c>
      <c r="E20" s="2">
        <v>30</v>
      </c>
      <c r="F20" s="4">
        <v>6.9897483690587138E-3</v>
      </c>
    </row>
    <row r="21" spans="1:6" x14ac:dyDescent="0.25">
      <c r="A21" s="2" t="s">
        <v>72</v>
      </c>
      <c r="B21" s="2" t="s">
        <v>63</v>
      </c>
      <c r="C21" s="2">
        <v>29</v>
      </c>
      <c r="D21" s="2">
        <v>29</v>
      </c>
      <c r="E21" s="2">
        <v>29</v>
      </c>
      <c r="F21" s="4">
        <v>6.7567567567567571E-3</v>
      </c>
    </row>
    <row r="22" spans="1:6" x14ac:dyDescent="0.25">
      <c r="A22" s="2" t="s">
        <v>62</v>
      </c>
      <c r="B22" s="2" t="s">
        <v>66</v>
      </c>
      <c r="C22" s="2">
        <v>27</v>
      </c>
      <c r="D22" s="2">
        <v>28</v>
      </c>
      <c r="E22" s="2">
        <v>29</v>
      </c>
      <c r="F22" s="4">
        <v>6.7567567567567571E-3</v>
      </c>
    </row>
    <row r="23" spans="1:6" x14ac:dyDescent="0.25">
      <c r="A23" s="2" t="s">
        <v>63</v>
      </c>
      <c r="B23" s="2" t="s">
        <v>75</v>
      </c>
      <c r="C23" s="2">
        <v>28</v>
      </c>
      <c r="D23" s="2">
        <v>28</v>
      </c>
      <c r="E23" s="2">
        <v>28</v>
      </c>
      <c r="F23" s="4">
        <v>6.5237651444547996E-3</v>
      </c>
    </row>
    <row r="24" spans="1:6" x14ac:dyDescent="0.25">
      <c r="A24" s="2" t="s">
        <v>65</v>
      </c>
      <c r="B24" s="2" t="s">
        <v>66</v>
      </c>
      <c r="C24" s="2">
        <v>28</v>
      </c>
      <c r="D24" s="2">
        <v>28</v>
      </c>
      <c r="E24" s="2">
        <v>28</v>
      </c>
      <c r="F24" s="4">
        <v>6.5237651444547996E-3</v>
      </c>
    </row>
    <row r="25" spans="1:6" x14ac:dyDescent="0.25">
      <c r="A25" s="2" t="s">
        <v>68</v>
      </c>
      <c r="B25" s="2" t="s">
        <v>69</v>
      </c>
      <c r="C25" s="2">
        <v>28</v>
      </c>
      <c r="D25" s="2">
        <v>28</v>
      </c>
      <c r="E25" s="2">
        <v>28</v>
      </c>
      <c r="F25" s="4">
        <v>6.5237651444547996E-3</v>
      </c>
    </row>
    <row r="26" spans="1:6" x14ac:dyDescent="0.25">
      <c r="A26" s="2" t="s">
        <v>69</v>
      </c>
      <c r="B26" s="2" t="s">
        <v>71</v>
      </c>
      <c r="C26" s="2">
        <v>28</v>
      </c>
      <c r="D26" s="2">
        <v>28</v>
      </c>
      <c r="E26" s="2">
        <v>28</v>
      </c>
      <c r="F26" s="4">
        <v>6.5237651444547996E-3</v>
      </c>
    </row>
    <row r="27" spans="1:6" x14ac:dyDescent="0.25">
      <c r="A27" s="2" t="s">
        <v>71</v>
      </c>
      <c r="B27" s="2" t="s">
        <v>75</v>
      </c>
      <c r="C27" s="2">
        <v>28</v>
      </c>
      <c r="D27" s="2">
        <v>28</v>
      </c>
      <c r="E27" s="2">
        <v>28</v>
      </c>
      <c r="F27" s="4">
        <v>6.5237651444547996E-3</v>
      </c>
    </row>
    <row r="28" spans="1:6" x14ac:dyDescent="0.25">
      <c r="A28" s="2" t="s">
        <v>72</v>
      </c>
      <c r="B28" s="2" t="s">
        <v>65</v>
      </c>
      <c r="C28" s="2">
        <v>28</v>
      </c>
      <c r="D28" s="2">
        <v>28</v>
      </c>
      <c r="E28" s="2">
        <v>28</v>
      </c>
      <c r="F28" s="4">
        <v>6.5237651444547996E-3</v>
      </c>
    </row>
    <row r="29" spans="1:6" x14ac:dyDescent="0.25">
      <c r="A29" s="2" t="s">
        <v>63</v>
      </c>
      <c r="B29" s="2" t="s">
        <v>64</v>
      </c>
      <c r="C29" s="2">
        <v>27</v>
      </c>
      <c r="D29" s="2">
        <v>27</v>
      </c>
      <c r="E29" s="2">
        <v>28</v>
      </c>
      <c r="F29" s="4">
        <v>6.5237651444547996E-3</v>
      </c>
    </row>
    <row r="30" spans="1:6" x14ac:dyDescent="0.25">
      <c r="A30" s="2" t="s">
        <v>65</v>
      </c>
      <c r="B30" s="2" t="s">
        <v>70</v>
      </c>
      <c r="C30" s="2">
        <v>27</v>
      </c>
      <c r="D30" s="2">
        <v>28</v>
      </c>
      <c r="E30" s="2">
        <v>28</v>
      </c>
      <c r="F30" s="4">
        <v>6.5237651444547996E-3</v>
      </c>
    </row>
    <row r="31" spans="1:6" x14ac:dyDescent="0.25">
      <c r="A31" s="2" t="s">
        <v>69</v>
      </c>
      <c r="B31" s="2" t="s">
        <v>72</v>
      </c>
      <c r="C31" s="2">
        <v>26</v>
      </c>
      <c r="D31" s="2">
        <v>26</v>
      </c>
      <c r="E31" s="2">
        <v>28</v>
      </c>
      <c r="F31" s="4">
        <v>6.5237651444547996E-3</v>
      </c>
    </row>
    <row r="32" spans="1:6" x14ac:dyDescent="0.25">
      <c r="A32" s="2" t="s">
        <v>62</v>
      </c>
      <c r="B32" s="2" t="s">
        <v>65</v>
      </c>
      <c r="C32" s="2">
        <v>27</v>
      </c>
      <c r="D32" s="2">
        <v>27</v>
      </c>
      <c r="E32" s="2">
        <v>27</v>
      </c>
      <c r="F32" s="4">
        <v>6.2907735321528421E-3</v>
      </c>
    </row>
    <row r="33" spans="1:6" x14ac:dyDescent="0.25">
      <c r="A33" s="2" t="s">
        <v>62</v>
      </c>
      <c r="B33" s="2" t="s">
        <v>71</v>
      </c>
      <c r="C33" s="2">
        <v>27</v>
      </c>
      <c r="D33" s="2">
        <v>27</v>
      </c>
      <c r="E33" s="2">
        <v>27</v>
      </c>
      <c r="F33" s="4">
        <v>6.2907735321528421E-3</v>
      </c>
    </row>
    <row r="34" spans="1:6" x14ac:dyDescent="0.25">
      <c r="A34" s="2" t="s">
        <v>63</v>
      </c>
      <c r="B34" s="2" t="s">
        <v>65</v>
      </c>
      <c r="C34" s="2">
        <v>27</v>
      </c>
      <c r="D34" s="2">
        <v>27</v>
      </c>
      <c r="E34" s="2">
        <v>27</v>
      </c>
      <c r="F34" s="4">
        <v>6.2907735321528421E-3</v>
      </c>
    </row>
    <row r="35" spans="1:6" x14ac:dyDescent="0.25">
      <c r="A35" s="2" t="s">
        <v>66</v>
      </c>
      <c r="B35" s="2" t="s">
        <v>69</v>
      </c>
      <c r="C35" s="2">
        <v>27</v>
      </c>
      <c r="D35" s="2">
        <v>27</v>
      </c>
      <c r="E35" s="2">
        <v>27</v>
      </c>
      <c r="F35" s="4">
        <v>6.2907735321528421E-3</v>
      </c>
    </row>
    <row r="36" spans="1:6" x14ac:dyDescent="0.25">
      <c r="A36" s="2" t="s">
        <v>66</v>
      </c>
      <c r="B36" s="2" t="s">
        <v>70</v>
      </c>
      <c r="C36" s="2">
        <v>27</v>
      </c>
      <c r="D36" s="2">
        <v>27</v>
      </c>
      <c r="E36" s="2">
        <v>27</v>
      </c>
      <c r="F36" s="4">
        <v>6.2907735321528421E-3</v>
      </c>
    </row>
    <row r="37" spans="1:6" x14ac:dyDescent="0.25">
      <c r="A37" s="2" t="s">
        <v>66</v>
      </c>
      <c r="B37" s="2" t="s">
        <v>74</v>
      </c>
      <c r="C37" s="2">
        <v>27</v>
      </c>
      <c r="D37" s="2">
        <v>27</v>
      </c>
      <c r="E37" s="2">
        <v>27</v>
      </c>
      <c r="F37" s="4">
        <v>6.2907735321528421E-3</v>
      </c>
    </row>
    <row r="38" spans="1:6" x14ac:dyDescent="0.25">
      <c r="A38" s="2" t="s">
        <v>68</v>
      </c>
      <c r="B38" s="2" t="s">
        <v>72</v>
      </c>
      <c r="C38" s="2">
        <v>27</v>
      </c>
      <c r="D38" s="2">
        <v>27</v>
      </c>
      <c r="E38" s="2">
        <v>27</v>
      </c>
      <c r="F38" s="4">
        <v>6.2907735321528421E-3</v>
      </c>
    </row>
    <row r="39" spans="1:6" x14ac:dyDescent="0.25">
      <c r="A39" s="2" t="s">
        <v>69</v>
      </c>
      <c r="B39" s="2" t="s">
        <v>65</v>
      </c>
      <c r="C39" s="2">
        <v>27</v>
      </c>
      <c r="D39" s="2">
        <v>27</v>
      </c>
      <c r="E39" s="2">
        <v>27</v>
      </c>
      <c r="F39" s="4">
        <v>6.2907735321528421E-3</v>
      </c>
    </row>
    <row r="40" spans="1:6" x14ac:dyDescent="0.25">
      <c r="A40" s="2" t="s">
        <v>70</v>
      </c>
      <c r="B40" s="2" t="s">
        <v>73</v>
      </c>
      <c r="C40" s="2">
        <v>27</v>
      </c>
      <c r="D40" s="2">
        <v>27</v>
      </c>
      <c r="E40" s="2">
        <v>27</v>
      </c>
      <c r="F40" s="4">
        <v>6.2907735321528421E-3</v>
      </c>
    </row>
    <row r="41" spans="1:6" x14ac:dyDescent="0.25">
      <c r="A41" s="2" t="s">
        <v>73</v>
      </c>
      <c r="B41" s="2" t="s">
        <v>66</v>
      </c>
      <c r="C41" s="2">
        <v>27</v>
      </c>
      <c r="D41" s="2">
        <v>27</v>
      </c>
      <c r="E41" s="2">
        <v>27</v>
      </c>
      <c r="F41" s="4">
        <v>6.2907735321528421E-3</v>
      </c>
    </row>
    <row r="42" spans="1:6" x14ac:dyDescent="0.25">
      <c r="A42" s="2" t="s">
        <v>74</v>
      </c>
      <c r="B42" s="2" t="s">
        <v>71</v>
      </c>
      <c r="C42" s="2">
        <v>27</v>
      </c>
      <c r="D42" s="2">
        <v>27</v>
      </c>
      <c r="E42" s="2">
        <v>27</v>
      </c>
      <c r="F42" s="4">
        <v>6.2907735321528421E-3</v>
      </c>
    </row>
    <row r="43" spans="1:6" x14ac:dyDescent="0.25">
      <c r="A43" s="2" t="s">
        <v>75</v>
      </c>
      <c r="B43" s="2" t="s">
        <v>62</v>
      </c>
      <c r="C43" s="2">
        <v>27</v>
      </c>
      <c r="D43" s="2">
        <v>27</v>
      </c>
      <c r="E43" s="2">
        <v>27</v>
      </c>
      <c r="F43" s="4">
        <v>6.2907735321528421E-3</v>
      </c>
    </row>
    <row r="44" spans="1:6" x14ac:dyDescent="0.25">
      <c r="A44" s="2" t="s">
        <v>64</v>
      </c>
      <c r="B44" s="2" t="s">
        <v>72</v>
      </c>
      <c r="C44" s="2">
        <v>26</v>
      </c>
      <c r="D44" s="2">
        <v>26</v>
      </c>
      <c r="E44" s="2">
        <v>27</v>
      </c>
      <c r="F44" s="4">
        <v>6.2907735321528421E-3</v>
      </c>
    </row>
    <row r="45" spans="1:6" x14ac:dyDescent="0.25">
      <c r="A45" s="2" t="s">
        <v>73</v>
      </c>
      <c r="B45" s="2" t="s">
        <v>64</v>
      </c>
      <c r="C45" s="2">
        <v>26</v>
      </c>
      <c r="D45" s="2">
        <v>27</v>
      </c>
      <c r="E45" s="2">
        <v>27</v>
      </c>
      <c r="F45" s="4">
        <v>6.2907735321528421E-3</v>
      </c>
    </row>
    <row r="46" spans="1:6" x14ac:dyDescent="0.25">
      <c r="A46" s="2" t="s">
        <v>62</v>
      </c>
      <c r="B46" s="2" t="s">
        <v>70</v>
      </c>
      <c r="C46" s="2">
        <v>26</v>
      </c>
      <c r="D46" s="2">
        <v>26</v>
      </c>
      <c r="E46" s="2">
        <v>26</v>
      </c>
      <c r="F46" s="4">
        <v>6.0577819198508846E-3</v>
      </c>
    </row>
    <row r="47" spans="1:6" x14ac:dyDescent="0.25">
      <c r="A47" s="2" t="s">
        <v>62</v>
      </c>
      <c r="B47" s="2" t="s">
        <v>75</v>
      </c>
      <c r="C47" s="2">
        <v>26</v>
      </c>
      <c r="D47" s="2">
        <v>26</v>
      </c>
      <c r="E47" s="2">
        <v>26</v>
      </c>
      <c r="F47" s="4">
        <v>6.0577819198508846E-3</v>
      </c>
    </row>
    <row r="48" spans="1:6" x14ac:dyDescent="0.25">
      <c r="A48" s="2" t="s">
        <v>63</v>
      </c>
      <c r="B48" s="2" t="s">
        <v>66</v>
      </c>
      <c r="C48" s="2">
        <v>26</v>
      </c>
      <c r="D48" s="2">
        <v>26</v>
      </c>
      <c r="E48" s="2">
        <v>26</v>
      </c>
      <c r="F48" s="4">
        <v>6.0577819198508846E-3</v>
      </c>
    </row>
    <row r="49" spans="1:6" x14ac:dyDescent="0.25">
      <c r="A49" s="2" t="s">
        <v>67</v>
      </c>
      <c r="B49" s="2" t="s">
        <v>63</v>
      </c>
      <c r="C49" s="2">
        <v>26</v>
      </c>
      <c r="D49" s="2">
        <v>26</v>
      </c>
      <c r="E49" s="2">
        <v>26</v>
      </c>
      <c r="F49" s="4">
        <v>6.0577819198508846E-3</v>
      </c>
    </row>
    <row r="50" spans="1:6" x14ac:dyDescent="0.25">
      <c r="A50" s="2" t="s">
        <v>67</v>
      </c>
      <c r="B50" s="2" t="s">
        <v>75</v>
      </c>
      <c r="C50" s="2">
        <v>26</v>
      </c>
      <c r="D50" s="2">
        <v>26</v>
      </c>
      <c r="E50" s="2">
        <v>26</v>
      </c>
      <c r="F50" s="4">
        <v>6.0577819198508846E-3</v>
      </c>
    </row>
    <row r="51" spans="1:6" x14ac:dyDescent="0.25">
      <c r="A51" s="2" t="s">
        <v>68</v>
      </c>
      <c r="B51" s="2" t="s">
        <v>63</v>
      </c>
      <c r="C51" s="2">
        <v>26</v>
      </c>
      <c r="D51" s="2">
        <v>26</v>
      </c>
      <c r="E51" s="2">
        <v>26</v>
      </c>
      <c r="F51" s="4">
        <v>6.0577819198508846E-3</v>
      </c>
    </row>
    <row r="52" spans="1:6" x14ac:dyDescent="0.25">
      <c r="A52" s="2" t="s">
        <v>68</v>
      </c>
      <c r="B52" s="2" t="s">
        <v>67</v>
      </c>
      <c r="C52" s="2">
        <v>26</v>
      </c>
      <c r="D52" s="2">
        <v>26</v>
      </c>
      <c r="E52" s="2">
        <v>26</v>
      </c>
      <c r="F52" s="4">
        <v>6.0577819198508846E-3</v>
      </c>
    </row>
    <row r="53" spans="1:6" x14ac:dyDescent="0.25">
      <c r="A53" s="2" t="s">
        <v>69</v>
      </c>
      <c r="B53" s="2" t="s">
        <v>73</v>
      </c>
      <c r="C53" s="2">
        <v>26</v>
      </c>
      <c r="D53" s="2">
        <v>26</v>
      </c>
      <c r="E53" s="2">
        <v>26</v>
      </c>
      <c r="F53" s="4">
        <v>6.0577819198508846E-3</v>
      </c>
    </row>
    <row r="54" spans="1:6" x14ac:dyDescent="0.25">
      <c r="A54" s="2" t="s">
        <v>70</v>
      </c>
      <c r="B54" s="2" t="s">
        <v>71</v>
      </c>
      <c r="C54" s="2">
        <v>26</v>
      </c>
      <c r="D54" s="2">
        <v>26</v>
      </c>
      <c r="E54" s="2">
        <v>26</v>
      </c>
      <c r="F54" s="4">
        <v>6.0577819198508846E-3</v>
      </c>
    </row>
    <row r="55" spans="1:6" x14ac:dyDescent="0.25">
      <c r="A55" s="2" t="s">
        <v>73</v>
      </c>
      <c r="B55" s="2" t="s">
        <v>63</v>
      </c>
      <c r="C55" s="2">
        <v>26</v>
      </c>
      <c r="D55" s="2">
        <v>26</v>
      </c>
      <c r="E55" s="2">
        <v>26</v>
      </c>
      <c r="F55" s="4">
        <v>6.0577819198508846E-3</v>
      </c>
    </row>
    <row r="56" spans="1:6" x14ac:dyDescent="0.25">
      <c r="A56" s="2" t="s">
        <v>73</v>
      </c>
      <c r="B56" s="2" t="s">
        <v>72</v>
      </c>
      <c r="C56" s="2">
        <v>26</v>
      </c>
      <c r="D56" s="2">
        <v>26</v>
      </c>
      <c r="E56" s="2">
        <v>26</v>
      </c>
      <c r="F56" s="4">
        <v>6.0577819198508846E-3</v>
      </c>
    </row>
    <row r="57" spans="1:6" x14ac:dyDescent="0.25">
      <c r="A57" s="2" t="s">
        <v>74</v>
      </c>
      <c r="B57" s="2" t="s">
        <v>68</v>
      </c>
      <c r="C57" s="2">
        <v>26</v>
      </c>
      <c r="D57" s="2">
        <v>26</v>
      </c>
      <c r="E57" s="2">
        <v>26</v>
      </c>
      <c r="F57" s="4">
        <v>6.0577819198508846E-3</v>
      </c>
    </row>
    <row r="58" spans="1:6" x14ac:dyDescent="0.25">
      <c r="A58" s="2" t="s">
        <v>65</v>
      </c>
      <c r="B58" s="2" t="s">
        <v>62</v>
      </c>
      <c r="C58" s="2">
        <v>25</v>
      </c>
      <c r="D58" s="2">
        <v>25</v>
      </c>
      <c r="E58" s="2">
        <v>26</v>
      </c>
      <c r="F58" s="4">
        <v>6.0577819198508846E-3</v>
      </c>
    </row>
    <row r="59" spans="1:6" x14ac:dyDescent="0.25">
      <c r="A59" s="2" t="s">
        <v>63</v>
      </c>
      <c r="B59" s="2" t="s">
        <v>69</v>
      </c>
      <c r="C59" s="2">
        <v>24</v>
      </c>
      <c r="D59" s="2">
        <v>26</v>
      </c>
      <c r="E59" s="2">
        <v>26</v>
      </c>
      <c r="F59" s="4">
        <v>6.0577819198508846E-3</v>
      </c>
    </row>
    <row r="60" spans="1:6" x14ac:dyDescent="0.25">
      <c r="A60" s="2" t="s">
        <v>70</v>
      </c>
      <c r="B60" s="2" t="s">
        <v>69</v>
      </c>
      <c r="C60" s="2">
        <v>22</v>
      </c>
      <c r="D60" s="2">
        <v>24</v>
      </c>
      <c r="E60" s="2">
        <v>26</v>
      </c>
      <c r="F60" s="4">
        <v>6.0577819198508846E-3</v>
      </c>
    </row>
    <row r="61" spans="1:6" x14ac:dyDescent="0.25">
      <c r="A61" s="2" t="s">
        <v>63</v>
      </c>
      <c r="B61" s="2" t="s">
        <v>73</v>
      </c>
      <c r="C61" s="2">
        <v>25</v>
      </c>
      <c r="D61" s="2">
        <v>25</v>
      </c>
      <c r="E61" s="2">
        <v>25</v>
      </c>
      <c r="F61" s="4">
        <v>5.824790307548928E-3</v>
      </c>
    </row>
    <row r="62" spans="1:6" x14ac:dyDescent="0.25">
      <c r="A62" s="2" t="s">
        <v>64</v>
      </c>
      <c r="B62" s="2" t="s">
        <v>68</v>
      </c>
      <c r="C62" s="2">
        <v>25</v>
      </c>
      <c r="D62" s="2">
        <v>25</v>
      </c>
      <c r="E62" s="2">
        <v>25</v>
      </c>
      <c r="F62" s="4">
        <v>5.824790307548928E-3</v>
      </c>
    </row>
    <row r="63" spans="1:6" x14ac:dyDescent="0.25">
      <c r="A63" s="2" t="s">
        <v>64</v>
      </c>
      <c r="B63" s="2" t="s">
        <v>74</v>
      </c>
      <c r="C63" s="2">
        <v>25</v>
      </c>
      <c r="D63" s="2">
        <v>25</v>
      </c>
      <c r="E63" s="2">
        <v>25</v>
      </c>
      <c r="F63" s="4">
        <v>5.824790307548928E-3</v>
      </c>
    </row>
    <row r="64" spans="1:6" x14ac:dyDescent="0.25">
      <c r="A64" s="2" t="s">
        <v>64</v>
      </c>
      <c r="B64" s="2" t="s">
        <v>75</v>
      </c>
      <c r="C64" s="2">
        <v>25</v>
      </c>
      <c r="D64" s="2">
        <v>25</v>
      </c>
      <c r="E64" s="2">
        <v>25</v>
      </c>
      <c r="F64" s="4">
        <v>5.824790307548928E-3</v>
      </c>
    </row>
    <row r="65" spans="1:6" x14ac:dyDescent="0.25">
      <c r="A65" s="2" t="s">
        <v>66</v>
      </c>
      <c r="B65" s="2" t="s">
        <v>63</v>
      </c>
      <c r="C65" s="2">
        <v>25</v>
      </c>
      <c r="D65" s="2">
        <v>25</v>
      </c>
      <c r="E65" s="2">
        <v>25</v>
      </c>
      <c r="F65" s="4">
        <v>5.824790307548928E-3</v>
      </c>
    </row>
    <row r="66" spans="1:6" x14ac:dyDescent="0.25">
      <c r="A66" s="2" t="s">
        <v>66</v>
      </c>
      <c r="B66" s="2" t="s">
        <v>64</v>
      </c>
      <c r="C66" s="2">
        <v>25</v>
      </c>
      <c r="D66" s="2">
        <v>25</v>
      </c>
      <c r="E66" s="2">
        <v>25</v>
      </c>
      <c r="F66" s="4">
        <v>5.824790307548928E-3</v>
      </c>
    </row>
    <row r="67" spans="1:6" x14ac:dyDescent="0.25">
      <c r="A67" s="2" t="s">
        <v>67</v>
      </c>
      <c r="B67" s="2" t="s">
        <v>70</v>
      </c>
      <c r="C67" s="2">
        <v>25</v>
      </c>
      <c r="D67" s="2">
        <v>25</v>
      </c>
      <c r="E67" s="2">
        <v>25</v>
      </c>
      <c r="F67" s="4">
        <v>5.824790307548928E-3</v>
      </c>
    </row>
    <row r="68" spans="1:6" x14ac:dyDescent="0.25">
      <c r="A68" s="2" t="s">
        <v>68</v>
      </c>
      <c r="B68" s="2" t="s">
        <v>66</v>
      </c>
      <c r="C68" s="2">
        <v>25</v>
      </c>
      <c r="D68" s="2">
        <v>25</v>
      </c>
      <c r="E68" s="2">
        <v>25</v>
      </c>
      <c r="F68" s="4">
        <v>5.824790307548928E-3</v>
      </c>
    </row>
    <row r="69" spans="1:6" x14ac:dyDescent="0.25">
      <c r="A69" s="2" t="s">
        <v>71</v>
      </c>
      <c r="B69" s="2" t="s">
        <v>64</v>
      </c>
      <c r="C69" s="2">
        <v>25</v>
      </c>
      <c r="D69" s="2">
        <v>25</v>
      </c>
      <c r="E69" s="2">
        <v>25</v>
      </c>
      <c r="F69" s="4">
        <v>5.824790307548928E-3</v>
      </c>
    </row>
    <row r="70" spans="1:6" x14ac:dyDescent="0.25">
      <c r="A70" s="2" t="s">
        <v>72</v>
      </c>
      <c r="B70" s="2" t="s">
        <v>66</v>
      </c>
      <c r="C70" s="2">
        <v>25</v>
      </c>
      <c r="D70" s="2">
        <v>25</v>
      </c>
      <c r="E70" s="2">
        <v>25</v>
      </c>
      <c r="F70" s="4">
        <v>5.824790307548928E-3</v>
      </c>
    </row>
    <row r="71" spans="1:6" x14ac:dyDescent="0.25">
      <c r="A71" s="2" t="s">
        <v>75</v>
      </c>
      <c r="B71" s="2" t="s">
        <v>66</v>
      </c>
      <c r="C71" s="2">
        <v>25</v>
      </c>
      <c r="D71" s="2">
        <v>25</v>
      </c>
      <c r="E71" s="2">
        <v>25</v>
      </c>
      <c r="F71" s="4">
        <v>5.824790307548928E-3</v>
      </c>
    </row>
    <row r="72" spans="1:6" x14ac:dyDescent="0.25">
      <c r="A72" s="2" t="s">
        <v>75</v>
      </c>
      <c r="B72" s="2" t="s">
        <v>68</v>
      </c>
      <c r="C72" s="2">
        <v>25</v>
      </c>
      <c r="D72" s="2">
        <v>25</v>
      </c>
      <c r="E72" s="2">
        <v>25</v>
      </c>
      <c r="F72" s="4">
        <v>5.824790307548928E-3</v>
      </c>
    </row>
    <row r="73" spans="1:6" x14ac:dyDescent="0.25">
      <c r="A73" s="2" t="s">
        <v>66</v>
      </c>
      <c r="B73" s="2" t="s">
        <v>65</v>
      </c>
      <c r="C73" s="2">
        <v>24</v>
      </c>
      <c r="D73" s="2">
        <v>25</v>
      </c>
      <c r="E73" s="2">
        <v>25</v>
      </c>
      <c r="F73" s="4">
        <v>5.824790307548928E-3</v>
      </c>
    </row>
    <row r="74" spans="1:6" x14ac:dyDescent="0.25">
      <c r="A74" s="2" t="s">
        <v>66</v>
      </c>
      <c r="B74" s="2" t="s">
        <v>68</v>
      </c>
      <c r="C74" s="2">
        <v>24</v>
      </c>
      <c r="D74" s="2">
        <v>25</v>
      </c>
      <c r="E74" s="2">
        <v>25</v>
      </c>
      <c r="F74" s="4">
        <v>5.824790307548928E-3</v>
      </c>
    </row>
    <row r="75" spans="1:6" x14ac:dyDescent="0.25">
      <c r="A75" s="2" t="s">
        <v>67</v>
      </c>
      <c r="B75" s="2" t="s">
        <v>72</v>
      </c>
      <c r="C75" s="2">
        <v>24</v>
      </c>
      <c r="D75" s="2">
        <v>24</v>
      </c>
      <c r="E75" s="2">
        <v>25</v>
      </c>
      <c r="F75" s="4">
        <v>5.824790307548928E-3</v>
      </c>
    </row>
    <row r="76" spans="1:6" x14ac:dyDescent="0.25">
      <c r="A76" s="2" t="s">
        <v>69</v>
      </c>
      <c r="B76" s="2" t="s">
        <v>67</v>
      </c>
      <c r="C76" s="2">
        <v>24</v>
      </c>
      <c r="D76" s="2">
        <v>25</v>
      </c>
      <c r="E76" s="2">
        <v>25</v>
      </c>
      <c r="F76" s="4">
        <v>5.824790307548928E-3</v>
      </c>
    </row>
    <row r="77" spans="1:6" x14ac:dyDescent="0.25">
      <c r="A77" s="2" t="s">
        <v>70</v>
      </c>
      <c r="B77" s="2" t="s">
        <v>68</v>
      </c>
      <c r="C77" s="2">
        <v>24</v>
      </c>
      <c r="D77" s="2">
        <v>25</v>
      </c>
      <c r="E77" s="2">
        <v>25</v>
      </c>
      <c r="F77" s="4">
        <v>5.824790307548928E-3</v>
      </c>
    </row>
    <row r="78" spans="1:6" x14ac:dyDescent="0.25">
      <c r="A78" s="2" t="s">
        <v>70</v>
      </c>
      <c r="B78" s="2" t="s">
        <v>72</v>
      </c>
      <c r="C78" s="2">
        <v>24</v>
      </c>
      <c r="D78" s="2">
        <v>25</v>
      </c>
      <c r="E78" s="2">
        <v>25</v>
      </c>
      <c r="F78" s="4">
        <v>5.824790307548928E-3</v>
      </c>
    </row>
    <row r="79" spans="1:6" x14ac:dyDescent="0.25">
      <c r="A79" s="2" t="s">
        <v>75</v>
      </c>
      <c r="B79" s="2" t="s">
        <v>73</v>
      </c>
      <c r="C79" s="2">
        <v>24</v>
      </c>
      <c r="D79" s="2">
        <v>24</v>
      </c>
      <c r="E79" s="2">
        <v>25</v>
      </c>
      <c r="F79" s="4">
        <v>5.824790307548928E-3</v>
      </c>
    </row>
    <row r="80" spans="1:6" x14ac:dyDescent="0.25">
      <c r="A80" s="2" t="s">
        <v>62</v>
      </c>
      <c r="B80" s="2" t="s">
        <v>64</v>
      </c>
      <c r="C80" s="2">
        <v>24</v>
      </c>
      <c r="D80" s="2">
        <v>24</v>
      </c>
      <c r="E80" s="2">
        <v>24</v>
      </c>
      <c r="F80" s="4">
        <v>5.5917986952469714E-3</v>
      </c>
    </row>
    <row r="81" spans="1:6" x14ac:dyDescent="0.25">
      <c r="A81" s="2" t="s">
        <v>62</v>
      </c>
      <c r="B81" s="2" t="s">
        <v>69</v>
      </c>
      <c r="C81" s="2">
        <v>24</v>
      </c>
      <c r="D81" s="2">
        <v>24</v>
      </c>
      <c r="E81" s="2">
        <v>24</v>
      </c>
      <c r="F81" s="4">
        <v>5.5917986952469714E-3</v>
      </c>
    </row>
    <row r="82" spans="1:6" x14ac:dyDescent="0.25">
      <c r="A82" s="2" t="s">
        <v>62</v>
      </c>
      <c r="B82" s="2" t="s">
        <v>74</v>
      </c>
      <c r="C82" s="2">
        <v>24</v>
      </c>
      <c r="D82" s="2">
        <v>24</v>
      </c>
      <c r="E82" s="2">
        <v>24</v>
      </c>
      <c r="F82" s="4">
        <v>5.5917986952469714E-3</v>
      </c>
    </row>
    <row r="83" spans="1:6" x14ac:dyDescent="0.25">
      <c r="A83" s="2" t="s">
        <v>63</v>
      </c>
      <c r="B83" s="2" t="s">
        <v>70</v>
      </c>
      <c r="C83" s="2">
        <v>24</v>
      </c>
      <c r="D83" s="2">
        <v>24</v>
      </c>
      <c r="E83" s="2">
        <v>24</v>
      </c>
      <c r="F83" s="4">
        <v>5.5917986952469714E-3</v>
      </c>
    </row>
    <row r="84" spans="1:6" x14ac:dyDescent="0.25">
      <c r="A84" s="2" t="s">
        <v>65</v>
      </c>
      <c r="B84" s="2" t="s">
        <v>69</v>
      </c>
      <c r="C84" s="2">
        <v>24</v>
      </c>
      <c r="D84" s="2">
        <v>24</v>
      </c>
      <c r="E84" s="2">
        <v>24</v>
      </c>
      <c r="F84" s="4">
        <v>5.5917986952469714E-3</v>
      </c>
    </row>
    <row r="85" spans="1:6" x14ac:dyDescent="0.25">
      <c r="A85" s="2" t="s">
        <v>65</v>
      </c>
      <c r="B85" s="2" t="s">
        <v>71</v>
      </c>
      <c r="C85" s="2">
        <v>24</v>
      </c>
      <c r="D85" s="2">
        <v>24</v>
      </c>
      <c r="E85" s="2">
        <v>24</v>
      </c>
      <c r="F85" s="4">
        <v>5.5917986952469714E-3</v>
      </c>
    </row>
    <row r="86" spans="1:6" x14ac:dyDescent="0.25">
      <c r="A86" s="2" t="s">
        <v>65</v>
      </c>
      <c r="B86" s="2" t="s">
        <v>74</v>
      </c>
      <c r="C86" s="2">
        <v>24</v>
      </c>
      <c r="D86" s="2">
        <v>24</v>
      </c>
      <c r="E86" s="2">
        <v>24</v>
      </c>
      <c r="F86" s="4">
        <v>5.5917986952469714E-3</v>
      </c>
    </row>
    <row r="87" spans="1:6" x14ac:dyDescent="0.25">
      <c r="A87" s="2" t="s">
        <v>66</v>
      </c>
      <c r="B87" s="2" t="s">
        <v>71</v>
      </c>
      <c r="C87" s="2">
        <v>24</v>
      </c>
      <c r="D87" s="2">
        <v>24</v>
      </c>
      <c r="E87" s="2">
        <v>24</v>
      </c>
      <c r="F87" s="4">
        <v>5.5917986952469714E-3</v>
      </c>
    </row>
    <row r="88" spans="1:6" x14ac:dyDescent="0.25">
      <c r="A88" s="2" t="s">
        <v>67</v>
      </c>
      <c r="B88" s="2" t="s">
        <v>74</v>
      </c>
      <c r="C88" s="2">
        <v>24</v>
      </c>
      <c r="D88" s="2">
        <v>24</v>
      </c>
      <c r="E88" s="2">
        <v>24</v>
      </c>
      <c r="F88" s="4">
        <v>5.5917986952469714E-3</v>
      </c>
    </row>
    <row r="89" spans="1:6" x14ac:dyDescent="0.25">
      <c r="A89" s="2" t="s">
        <v>68</v>
      </c>
      <c r="B89" s="2" t="s">
        <v>73</v>
      </c>
      <c r="C89" s="2">
        <v>24</v>
      </c>
      <c r="D89" s="2">
        <v>24</v>
      </c>
      <c r="E89" s="2">
        <v>24</v>
      </c>
      <c r="F89" s="4">
        <v>5.5917986952469714E-3</v>
      </c>
    </row>
    <row r="90" spans="1:6" x14ac:dyDescent="0.25">
      <c r="A90" s="2" t="s">
        <v>69</v>
      </c>
      <c r="B90" s="2" t="s">
        <v>70</v>
      </c>
      <c r="C90" s="2">
        <v>24</v>
      </c>
      <c r="D90" s="2">
        <v>24</v>
      </c>
      <c r="E90" s="2">
        <v>24</v>
      </c>
      <c r="F90" s="4">
        <v>5.5917986952469714E-3</v>
      </c>
    </row>
    <row r="91" spans="1:6" x14ac:dyDescent="0.25">
      <c r="A91" s="2" t="s">
        <v>74</v>
      </c>
      <c r="B91" s="2" t="s">
        <v>69</v>
      </c>
      <c r="C91" s="2">
        <v>24</v>
      </c>
      <c r="D91" s="2">
        <v>24</v>
      </c>
      <c r="E91" s="2">
        <v>24</v>
      </c>
      <c r="F91" s="4">
        <v>5.5917986952469714E-3</v>
      </c>
    </row>
    <row r="92" spans="1:6" x14ac:dyDescent="0.25">
      <c r="A92" s="2" t="s">
        <v>65</v>
      </c>
      <c r="B92" s="2" t="s">
        <v>63</v>
      </c>
      <c r="C92" s="2">
        <v>23</v>
      </c>
      <c r="D92" s="2">
        <v>24</v>
      </c>
      <c r="E92" s="2">
        <v>24</v>
      </c>
      <c r="F92" s="4">
        <v>5.5917986952469714E-3</v>
      </c>
    </row>
    <row r="93" spans="1:6" x14ac:dyDescent="0.25">
      <c r="A93" s="2" t="s">
        <v>73</v>
      </c>
      <c r="B93" s="2" t="s">
        <v>74</v>
      </c>
      <c r="C93" s="2">
        <v>23</v>
      </c>
      <c r="D93" s="2">
        <v>24</v>
      </c>
      <c r="E93" s="2">
        <v>24</v>
      </c>
      <c r="F93" s="4">
        <v>5.5917986952469714E-3</v>
      </c>
    </row>
    <row r="94" spans="1:6" x14ac:dyDescent="0.25">
      <c r="A94" s="2" t="s">
        <v>65</v>
      </c>
      <c r="B94" s="2" t="s">
        <v>67</v>
      </c>
      <c r="C94" s="2">
        <v>23</v>
      </c>
      <c r="D94" s="2">
        <v>23</v>
      </c>
      <c r="E94" s="2">
        <v>23</v>
      </c>
      <c r="F94" s="4">
        <v>5.3588070829450139E-3</v>
      </c>
    </row>
    <row r="95" spans="1:6" x14ac:dyDescent="0.25">
      <c r="A95" s="2" t="s">
        <v>65</v>
      </c>
      <c r="B95" s="2" t="s">
        <v>68</v>
      </c>
      <c r="C95" s="2">
        <v>23</v>
      </c>
      <c r="D95" s="2">
        <v>23</v>
      </c>
      <c r="E95" s="2">
        <v>23</v>
      </c>
      <c r="F95" s="4">
        <v>5.3588070829450139E-3</v>
      </c>
    </row>
    <row r="96" spans="1:6" x14ac:dyDescent="0.25">
      <c r="A96" s="2" t="s">
        <v>66</v>
      </c>
      <c r="B96" s="2" t="s">
        <v>67</v>
      </c>
      <c r="C96" s="2">
        <v>23</v>
      </c>
      <c r="D96" s="2">
        <v>23</v>
      </c>
      <c r="E96" s="2">
        <v>23</v>
      </c>
      <c r="F96" s="4">
        <v>5.3588070829450139E-3</v>
      </c>
    </row>
    <row r="97" spans="1:6" x14ac:dyDescent="0.25">
      <c r="A97" s="2" t="s">
        <v>68</v>
      </c>
      <c r="B97" s="2" t="s">
        <v>71</v>
      </c>
      <c r="C97" s="2">
        <v>23</v>
      </c>
      <c r="D97" s="2">
        <v>23</v>
      </c>
      <c r="E97" s="2">
        <v>23</v>
      </c>
      <c r="F97" s="4">
        <v>5.3588070829450139E-3</v>
      </c>
    </row>
    <row r="98" spans="1:6" x14ac:dyDescent="0.25">
      <c r="A98" s="2" t="s">
        <v>70</v>
      </c>
      <c r="B98" s="2" t="s">
        <v>66</v>
      </c>
      <c r="C98" s="2">
        <v>23</v>
      </c>
      <c r="D98" s="2">
        <v>23</v>
      </c>
      <c r="E98" s="2">
        <v>23</v>
      </c>
      <c r="F98" s="4">
        <v>5.3588070829450139E-3</v>
      </c>
    </row>
    <row r="99" spans="1:6" x14ac:dyDescent="0.25">
      <c r="A99" s="2" t="s">
        <v>71</v>
      </c>
      <c r="B99" s="2" t="s">
        <v>62</v>
      </c>
      <c r="C99" s="2">
        <v>23</v>
      </c>
      <c r="D99" s="2">
        <v>23</v>
      </c>
      <c r="E99" s="2">
        <v>23</v>
      </c>
      <c r="F99" s="4">
        <v>5.3588070829450139E-3</v>
      </c>
    </row>
    <row r="100" spans="1:6" x14ac:dyDescent="0.25">
      <c r="A100" s="2" t="s">
        <v>71</v>
      </c>
      <c r="B100" s="2" t="s">
        <v>69</v>
      </c>
      <c r="C100" s="2">
        <v>23</v>
      </c>
      <c r="D100" s="2">
        <v>23</v>
      </c>
      <c r="E100" s="2">
        <v>23</v>
      </c>
      <c r="F100" s="4">
        <v>5.3588070829450139E-3</v>
      </c>
    </row>
    <row r="101" spans="1:6" x14ac:dyDescent="0.25">
      <c r="A101" s="2" t="s">
        <v>72</v>
      </c>
      <c r="B101" s="2" t="s">
        <v>64</v>
      </c>
      <c r="C101" s="2">
        <v>23</v>
      </c>
      <c r="D101" s="2">
        <v>23</v>
      </c>
      <c r="E101" s="2">
        <v>23</v>
      </c>
      <c r="F101" s="4">
        <v>5.3588070829450139E-3</v>
      </c>
    </row>
    <row r="102" spans="1:6" x14ac:dyDescent="0.25">
      <c r="A102" s="2" t="s">
        <v>73</v>
      </c>
      <c r="B102" s="2" t="s">
        <v>69</v>
      </c>
      <c r="C102" s="2">
        <v>23</v>
      </c>
      <c r="D102" s="2">
        <v>23</v>
      </c>
      <c r="E102" s="2">
        <v>23</v>
      </c>
      <c r="F102" s="4">
        <v>5.3588070829450139E-3</v>
      </c>
    </row>
    <row r="103" spans="1:6" x14ac:dyDescent="0.25">
      <c r="A103" s="2" t="s">
        <v>75</v>
      </c>
      <c r="B103" s="2" t="s">
        <v>71</v>
      </c>
      <c r="C103" s="2">
        <v>23</v>
      </c>
      <c r="D103" s="2">
        <v>23</v>
      </c>
      <c r="E103" s="2">
        <v>23</v>
      </c>
      <c r="F103" s="4">
        <v>5.3588070829450139E-3</v>
      </c>
    </row>
    <row r="104" spans="1:6" x14ac:dyDescent="0.25">
      <c r="A104" s="2" t="s">
        <v>75</v>
      </c>
      <c r="B104" s="2" t="s">
        <v>72</v>
      </c>
      <c r="C104" s="2">
        <v>23</v>
      </c>
      <c r="D104" s="2">
        <v>23</v>
      </c>
      <c r="E104" s="2">
        <v>23</v>
      </c>
      <c r="F104" s="4">
        <v>5.3588070829450139E-3</v>
      </c>
    </row>
    <row r="105" spans="1:6" x14ac:dyDescent="0.25">
      <c r="A105" s="2" t="s">
        <v>68</v>
      </c>
      <c r="B105" s="2" t="s">
        <v>65</v>
      </c>
      <c r="C105" s="2">
        <v>22</v>
      </c>
      <c r="D105" s="2">
        <v>23</v>
      </c>
      <c r="E105" s="2">
        <v>23</v>
      </c>
      <c r="F105" s="4">
        <v>5.3588070829450139E-3</v>
      </c>
    </row>
    <row r="106" spans="1:6" x14ac:dyDescent="0.25">
      <c r="A106" s="2" t="s">
        <v>69</v>
      </c>
      <c r="B106" s="2" t="s">
        <v>64</v>
      </c>
      <c r="C106" s="2">
        <v>22</v>
      </c>
      <c r="D106" s="2">
        <v>23</v>
      </c>
      <c r="E106" s="2">
        <v>23</v>
      </c>
      <c r="F106" s="4">
        <v>5.3588070829450139E-3</v>
      </c>
    </row>
    <row r="107" spans="1:6" x14ac:dyDescent="0.25">
      <c r="A107" s="2" t="s">
        <v>69</v>
      </c>
      <c r="B107" s="2" t="s">
        <v>66</v>
      </c>
      <c r="C107" s="2">
        <v>22</v>
      </c>
      <c r="D107" s="2">
        <v>23</v>
      </c>
      <c r="E107" s="2">
        <v>23</v>
      </c>
      <c r="F107" s="4">
        <v>5.3588070829450139E-3</v>
      </c>
    </row>
    <row r="108" spans="1:6" x14ac:dyDescent="0.25">
      <c r="A108" s="2" t="s">
        <v>72</v>
      </c>
      <c r="B108" s="2" t="s">
        <v>70</v>
      </c>
      <c r="C108" s="2">
        <v>22</v>
      </c>
      <c r="D108" s="2">
        <v>22</v>
      </c>
      <c r="E108" s="2">
        <v>23</v>
      </c>
      <c r="F108" s="4">
        <v>5.3588070829450139E-3</v>
      </c>
    </row>
    <row r="109" spans="1:6" x14ac:dyDescent="0.25">
      <c r="A109" s="2" t="s">
        <v>63</v>
      </c>
      <c r="B109" s="2" t="s">
        <v>74</v>
      </c>
      <c r="C109" s="2">
        <v>22</v>
      </c>
      <c r="D109" s="2">
        <v>22</v>
      </c>
      <c r="E109" s="2">
        <v>22</v>
      </c>
      <c r="F109" s="4">
        <v>5.1258154706430572E-3</v>
      </c>
    </row>
    <row r="110" spans="1:6" x14ac:dyDescent="0.25">
      <c r="A110" s="2" t="s">
        <v>64</v>
      </c>
      <c r="B110" s="2" t="s">
        <v>65</v>
      </c>
      <c r="C110" s="2">
        <v>22</v>
      </c>
      <c r="D110" s="2">
        <v>22</v>
      </c>
      <c r="E110" s="2">
        <v>22</v>
      </c>
      <c r="F110" s="4">
        <v>5.1258154706430572E-3</v>
      </c>
    </row>
    <row r="111" spans="1:6" x14ac:dyDescent="0.25">
      <c r="A111" s="2" t="s">
        <v>64</v>
      </c>
      <c r="B111" s="2" t="s">
        <v>73</v>
      </c>
      <c r="C111" s="2">
        <v>22</v>
      </c>
      <c r="D111" s="2">
        <v>22</v>
      </c>
      <c r="E111" s="2">
        <v>22</v>
      </c>
      <c r="F111" s="4">
        <v>5.1258154706430572E-3</v>
      </c>
    </row>
    <row r="112" spans="1:6" x14ac:dyDescent="0.25">
      <c r="A112" s="2" t="s">
        <v>66</v>
      </c>
      <c r="B112" s="2" t="s">
        <v>72</v>
      </c>
      <c r="C112" s="2">
        <v>22</v>
      </c>
      <c r="D112" s="2">
        <v>22</v>
      </c>
      <c r="E112" s="2">
        <v>22</v>
      </c>
      <c r="F112" s="4">
        <v>5.1258154706430572E-3</v>
      </c>
    </row>
    <row r="113" spans="1:6" x14ac:dyDescent="0.25">
      <c r="A113" s="2" t="s">
        <v>67</v>
      </c>
      <c r="B113" s="2" t="s">
        <v>64</v>
      </c>
      <c r="C113" s="2">
        <v>22</v>
      </c>
      <c r="D113" s="2">
        <v>22</v>
      </c>
      <c r="E113" s="2">
        <v>22</v>
      </c>
      <c r="F113" s="4">
        <v>5.1258154706430572E-3</v>
      </c>
    </row>
    <row r="114" spans="1:6" x14ac:dyDescent="0.25">
      <c r="A114" s="2" t="s">
        <v>67</v>
      </c>
      <c r="B114" s="2" t="s">
        <v>66</v>
      </c>
      <c r="C114" s="2">
        <v>22</v>
      </c>
      <c r="D114" s="2">
        <v>22</v>
      </c>
      <c r="E114" s="2">
        <v>22</v>
      </c>
      <c r="F114" s="4">
        <v>5.1258154706430572E-3</v>
      </c>
    </row>
    <row r="115" spans="1:6" x14ac:dyDescent="0.25">
      <c r="A115" s="2" t="s">
        <v>71</v>
      </c>
      <c r="B115" s="2" t="s">
        <v>65</v>
      </c>
      <c r="C115" s="2">
        <v>22</v>
      </c>
      <c r="D115" s="2">
        <v>22</v>
      </c>
      <c r="E115" s="2">
        <v>22</v>
      </c>
      <c r="F115" s="4">
        <v>5.1258154706430572E-3</v>
      </c>
    </row>
    <row r="116" spans="1:6" x14ac:dyDescent="0.25">
      <c r="A116" s="2" t="s">
        <v>72</v>
      </c>
      <c r="B116" s="2" t="s">
        <v>68</v>
      </c>
      <c r="C116" s="2">
        <v>22</v>
      </c>
      <c r="D116" s="2">
        <v>22</v>
      </c>
      <c r="E116" s="2">
        <v>22</v>
      </c>
      <c r="F116" s="4">
        <v>5.1258154706430572E-3</v>
      </c>
    </row>
    <row r="117" spans="1:6" x14ac:dyDescent="0.25">
      <c r="A117" s="2" t="s">
        <v>72</v>
      </c>
      <c r="B117" s="2" t="s">
        <v>71</v>
      </c>
      <c r="C117" s="2">
        <v>22</v>
      </c>
      <c r="D117" s="2">
        <v>22</v>
      </c>
      <c r="E117" s="2">
        <v>22</v>
      </c>
      <c r="F117" s="4">
        <v>5.1258154706430572E-3</v>
      </c>
    </row>
    <row r="118" spans="1:6" x14ac:dyDescent="0.25">
      <c r="A118" s="2" t="s">
        <v>73</v>
      </c>
      <c r="B118" s="2" t="s">
        <v>65</v>
      </c>
      <c r="C118" s="2">
        <v>22</v>
      </c>
      <c r="D118" s="2">
        <v>22</v>
      </c>
      <c r="E118" s="2">
        <v>22</v>
      </c>
      <c r="F118" s="4">
        <v>5.1258154706430572E-3</v>
      </c>
    </row>
    <row r="119" spans="1:6" x14ac:dyDescent="0.25">
      <c r="A119" s="2" t="s">
        <v>75</v>
      </c>
      <c r="B119" s="2" t="s">
        <v>67</v>
      </c>
      <c r="C119" s="2">
        <v>22</v>
      </c>
      <c r="D119" s="2">
        <v>22</v>
      </c>
      <c r="E119" s="2">
        <v>22</v>
      </c>
      <c r="F119" s="4">
        <v>5.1258154706430572E-3</v>
      </c>
    </row>
    <row r="120" spans="1:6" x14ac:dyDescent="0.25">
      <c r="A120" s="2" t="s">
        <v>75</v>
      </c>
      <c r="B120" s="2" t="s">
        <v>69</v>
      </c>
      <c r="C120" s="2">
        <v>22</v>
      </c>
      <c r="D120" s="2">
        <v>22</v>
      </c>
      <c r="E120" s="2">
        <v>22</v>
      </c>
      <c r="F120" s="4">
        <v>5.1258154706430572E-3</v>
      </c>
    </row>
    <row r="121" spans="1:6" x14ac:dyDescent="0.25">
      <c r="A121" s="2" t="s">
        <v>62</v>
      </c>
      <c r="B121" s="2" t="s">
        <v>67</v>
      </c>
      <c r="C121" s="2">
        <v>21</v>
      </c>
      <c r="D121" s="2">
        <v>21</v>
      </c>
      <c r="E121" s="2">
        <v>21</v>
      </c>
      <c r="F121" s="4">
        <v>4.8928238583410997E-3</v>
      </c>
    </row>
    <row r="122" spans="1:6" x14ac:dyDescent="0.25">
      <c r="A122" s="2" t="s">
        <v>63</v>
      </c>
      <c r="B122" s="2" t="s">
        <v>72</v>
      </c>
      <c r="C122" s="2">
        <v>21</v>
      </c>
      <c r="D122" s="2">
        <v>21</v>
      </c>
      <c r="E122" s="2">
        <v>21</v>
      </c>
      <c r="F122" s="4">
        <v>4.8928238583410997E-3</v>
      </c>
    </row>
    <row r="123" spans="1:6" x14ac:dyDescent="0.25">
      <c r="A123" s="2" t="s">
        <v>64</v>
      </c>
      <c r="B123" s="2" t="s">
        <v>62</v>
      </c>
      <c r="C123" s="2">
        <v>21</v>
      </c>
      <c r="D123" s="2">
        <v>21</v>
      </c>
      <c r="E123" s="2">
        <v>21</v>
      </c>
      <c r="F123" s="4">
        <v>4.8928238583410997E-3</v>
      </c>
    </row>
    <row r="124" spans="1:6" x14ac:dyDescent="0.25">
      <c r="A124" s="2" t="s">
        <v>64</v>
      </c>
      <c r="B124" s="2" t="s">
        <v>66</v>
      </c>
      <c r="C124" s="2">
        <v>21</v>
      </c>
      <c r="D124" s="2">
        <v>21</v>
      </c>
      <c r="E124" s="2">
        <v>21</v>
      </c>
      <c r="F124" s="4">
        <v>4.8928238583410997E-3</v>
      </c>
    </row>
    <row r="125" spans="1:6" x14ac:dyDescent="0.25">
      <c r="A125" s="2" t="s">
        <v>66</v>
      </c>
      <c r="B125" s="2" t="s">
        <v>62</v>
      </c>
      <c r="C125" s="2">
        <v>21</v>
      </c>
      <c r="D125" s="2">
        <v>21</v>
      </c>
      <c r="E125" s="2">
        <v>21</v>
      </c>
      <c r="F125" s="4">
        <v>4.8928238583410997E-3</v>
      </c>
    </row>
    <row r="126" spans="1:6" x14ac:dyDescent="0.25">
      <c r="A126" s="2" t="s">
        <v>66</v>
      </c>
      <c r="B126" s="2" t="s">
        <v>73</v>
      </c>
      <c r="C126" s="2">
        <v>21</v>
      </c>
      <c r="D126" s="2">
        <v>21</v>
      </c>
      <c r="E126" s="2">
        <v>21</v>
      </c>
      <c r="F126" s="4">
        <v>4.8928238583410997E-3</v>
      </c>
    </row>
    <row r="127" spans="1:6" x14ac:dyDescent="0.25">
      <c r="A127" s="2" t="s">
        <v>68</v>
      </c>
      <c r="B127" s="2" t="s">
        <v>62</v>
      </c>
      <c r="C127" s="2">
        <v>21</v>
      </c>
      <c r="D127" s="2">
        <v>21</v>
      </c>
      <c r="E127" s="2">
        <v>21</v>
      </c>
      <c r="F127" s="4">
        <v>4.8928238583410997E-3</v>
      </c>
    </row>
    <row r="128" spans="1:6" x14ac:dyDescent="0.25">
      <c r="A128" s="2" t="s">
        <v>68</v>
      </c>
      <c r="B128" s="2" t="s">
        <v>64</v>
      </c>
      <c r="C128" s="2">
        <v>21</v>
      </c>
      <c r="D128" s="2">
        <v>21</v>
      </c>
      <c r="E128" s="2">
        <v>21</v>
      </c>
      <c r="F128" s="4">
        <v>4.8928238583410997E-3</v>
      </c>
    </row>
    <row r="129" spans="1:6" x14ac:dyDescent="0.25">
      <c r="A129" s="2" t="s">
        <v>69</v>
      </c>
      <c r="B129" s="2" t="s">
        <v>62</v>
      </c>
      <c r="C129" s="2">
        <v>21</v>
      </c>
      <c r="D129" s="2">
        <v>21</v>
      </c>
      <c r="E129" s="2">
        <v>21</v>
      </c>
      <c r="F129" s="4">
        <v>4.8928238583410997E-3</v>
      </c>
    </row>
    <row r="130" spans="1:6" x14ac:dyDescent="0.25">
      <c r="A130" s="2" t="s">
        <v>74</v>
      </c>
      <c r="B130" s="2" t="s">
        <v>63</v>
      </c>
      <c r="C130" s="2">
        <v>21</v>
      </c>
      <c r="D130" s="2">
        <v>21</v>
      </c>
      <c r="E130" s="2">
        <v>21</v>
      </c>
      <c r="F130" s="4">
        <v>4.8928238583410997E-3</v>
      </c>
    </row>
    <row r="131" spans="1:6" x14ac:dyDescent="0.25">
      <c r="A131" s="2" t="s">
        <v>74</v>
      </c>
      <c r="B131" s="2" t="s">
        <v>72</v>
      </c>
      <c r="C131" s="2">
        <v>21</v>
      </c>
      <c r="D131" s="2">
        <v>21</v>
      </c>
      <c r="E131" s="2">
        <v>21</v>
      </c>
      <c r="F131" s="4">
        <v>4.8928238583410997E-3</v>
      </c>
    </row>
    <row r="132" spans="1:6" x14ac:dyDescent="0.25">
      <c r="A132" s="2" t="s">
        <v>75</v>
      </c>
      <c r="B132" s="2" t="s">
        <v>63</v>
      </c>
      <c r="C132" s="2">
        <v>21</v>
      </c>
      <c r="D132" s="2">
        <v>21</v>
      </c>
      <c r="E132" s="2">
        <v>21</v>
      </c>
      <c r="F132" s="4">
        <v>4.8928238583410997E-3</v>
      </c>
    </row>
    <row r="133" spans="1:6" x14ac:dyDescent="0.25">
      <c r="A133" s="2" t="s">
        <v>75</v>
      </c>
      <c r="B133" s="2" t="s">
        <v>65</v>
      </c>
      <c r="C133" s="2">
        <v>21</v>
      </c>
      <c r="D133" s="2">
        <v>21</v>
      </c>
      <c r="E133" s="2">
        <v>21</v>
      </c>
      <c r="F133" s="4">
        <v>4.8928238583410997E-3</v>
      </c>
    </row>
    <row r="134" spans="1:6" x14ac:dyDescent="0.25">
      <c r="A134" s="2" t="s">
        <v>75</v>
      </c>
      <c r="B134" s="2" t="s">
        <v>70</v>
      </c>
      <c r="C134" s="2">
        <v>21</v>
      </c>
      <c r="D134" s="2">
        <v>21</v>
      </c>
      <c r="E134" s="2">
        <v>21</v>
      </c>
      <c r="F134" s="4">
        <v>4.8928238583410997E-3</v>
      </c>
    </row>
    <row r="135" spans="1:6" x14ac:dyDescent="0.25">
      <c r="A135" s="2" t="s">
        <v>71</v>
      </c>
      <c r="B135" s="2" t="s">
        <v>70</v>
      </c>
      <c r="C135" s="2">
        <v>20</v>
      </c>
      <c r="D135" s="2">
        <v>21</v>
      </c>
      <c r="E135" s="2">
        <v>21</v>
      </c>
      <c r="F135" s="4">
        <v>4.8928238583410997E-3</v>
      </c>
    </row>
    <row r="136" spans="1:6" x14ac:dyDescent="0.25">
      <c r="A136" s="2" t="s">
        <v>73</v>
      </c>
      <c r="B136" s="2" t="s">
        <v>70</v>
      </c>
      <c r="C136" s="2">
        <v>20</v>
      </c>
      <c r="D136" s="2">
        <v>21</v>
      </c>
      <c r="E136" s="2">
        <v>21</v>
      </c>
      <c r="F136" s="4">
        <v>4.8928238583410997E-3</v>
      </c>
    </row>
    <row r="137" spans="1:6" x14ac:dyDescent="0.25">
      <c r="A137" s="2" t="s">
        <v>63</v>
      </c>
      <c r="B137" s="2" t="s">
        <v>67</v>
      </c>
      <c r="C137" s="2">
        <v>20</v>
      </c>
      <c r="D137" s="2">
        <v>20</v>
      </c>
      <c r="E137" s="2">
        <v>20</v>
      </c>
      <c r="F137" s="4">
        <v>4.6598322460391422E-3</v>
      </c>
    </row>
    <row r="138" spans="1:6" x14ac:dyDescent="0.25">
      <c r="A138" s="2" t="s">
        <v>63</v>
      </c>
      <c r="B138" s="2" t="s">
        <v>68</v>
      </c>
      <c r="C138" s="2">
        <v>20</v>
      </c>
      <c r="D138" s="2">
        <v>20</v>
      </c>
      <c r="E138" s="2">
        <v>20</v>
      </c>
      <c r="F138" s="4">
        <v>4.6598322460391422E-3</v>
      </c>
    </row>
    <row r="139" spans="1:6" x14ac:dyDescent="0.25">
      <c r="A139" s="2" t="s">
        <v>64</v>
      </c>
      <c r="B139" s="2" t="s">
        <v>67</v>
      </c>
      <c r="C139" s="2">
        <v>20</v>
      </c>
      <c r="D139" s="2">
        <v>20</v>
      </c>
      <c r="E139" s="2">
        <v>20</v>
      </c>
      <c r="F139" s="4">
        <v>4.6598322460391422E-3</v>
      </c>
    </row>
    <row r="140" spans="1:6" x14ac:dyDescent="0.25">
      <c r="A140" s="2" t="s">
        <v>66</v>
      </c>
      <c r="B140" s="2" t="s">
        <v>75</v>
      </c>
      <c r="C140" s="2">
        <v>20</v>
      </c>
      <c r="D140" s="2">
        <v>20</v>
      </c>
      <c r="E140" s="2">
        <v>20</v>
      </c>
      <c r="F140" s="4">
        <v>4.6598322460391422E-3</v>
      </c>
    </row>
    <row r="141" spans="1:6" x14ac:dyDescent="0.25">
      <c r="A141" s="2" t="s">
        <v>72</v>
      </c>
      <c r="B141" s="2" t="s">
        <v>74</v>
      </c>
      <c r="C141" s="2">
        <v>20</v>
      </c>
      <c r="D141" s="2">
        <v>20</v>
      </c>
      <c r="E141" s="2">
        <v>20</v>
      </c>
      <c r="F141" s="4">
        <v>4.6598322460391422E-3</v>
      </c>
    </row>
    <row r="142" spans="1:6" x14ac:dyDescent="0.25">
      <c r="A142" s="2" t="s">
        <v>73</v>
      </c>
      <c r="B142" s="2" t="s">
        <v>62</v>
      </c>
      <c r="C142" s="2">
        <v>20</v>
      </c>
      <c r="D142" s="2">
        <v>20</v>
      </c>
      <c r="E142" s="2">
        <v>20</v>
      </c>
      <c r="F142" s="4">
        <v>4.6598322460391422E-3</v>
      </c>
    </row>
    <row r="143" spans="1:6" x14ac:dyDescent="0.25">
      <c r="A143" s="2" t="s">
        <v>73</v>
      </c>
      <c r="B143" s="2" t="s">
        <v>67</v>
      </c>
      <c r="C143" s="2">
        <v>20</v>
      </c>
      <c r="D143" s="2">
        <v>20</v>
      </c>
      <c r="E143" s="2">
        <v>20</v>
      </c>
      <c r="F143" s="4">
        <v>4.6598322460391422E-3</v>
      </c>
    </row>
    <row r="144" spans="1:6" x14ac:dyDescent="0.25">
      <c r="A144" s="2" t="s">
        <v>73</v>
      </c>
      <c r="B144" s="2" t="s">
        <v>71</v>
      </c>
      <c r="C144" s="2">
        <v>20</v>
      </c>
      <c r="D144" s="2">
        <v>20</v>
      </c>
      <c r="E144" s="2">
        <v>20</v>
      </c>
      <c r="F144" s="4">
        <v>4.6598322460391422E-3</v>
      </c>
    </row>
    <row r="145" spans="1:6" x14ac:dyDescent="0.25">
      <c r="A145" s="2" t="s">
        <v>74</v>
      </c>
      <c r="B145" s="2" t="s">
        <v>75</v>
      </c>
      <c r="C145" s="2">
        <v>20</v>
      </c>
      <c r="D145" s="2">
        <v>20</v>
      </c>
      <c r="E145" s="2">
        <v>20</v>
      </c>
      <c r="F145" s="4">
        <v>4.6598322460391422E-3</v>
      </c>
    </row>
    <row r="146" spans="1:6" x14ac:dyDescent="0.25">
      <c r="A146" s="2" t="s">
        <v>67</v>
      </c>
      <c r="B146" s="2" t="s">
        <v>73</v>
      </c>
      <c r="C146" s="2">
        <v>19</v>
      </c>
      <c r="D146" s="2">
        <v>20</v>
      </c>
      <c r="E146" s="2">
        <v>20</v>
      </c>
      <c r="F146" s="4">
        <v>4.6598322460391422E-3</v>
      </c>
    </row>
    <row r="147" spans="1:6" x14ac:dyDescent="0.25">
      <c r="A147" s="2" t="s">
        <v>71</v>
      </c>
      <c r="B147" s="2" t="s">
        <v>67</v>
      </c>
      <c r="C147" s="2">
        <v>19</v>
      </c>
      <c r="D147" s="2">
        <v>20</v>
      </c>
      <c r="E147" s="2">
        <v>20</v>
      </c>
      <c r="F147" s="4">
        <v>4.6598322460391422E-3</v>
      </c>
    </row>
    <row r="148" spans="1:6" x14ac:dyDescent="0.25">
      <c r="A148" s="2" t="s">
        <v>72</v>
      </c>
      <c r="B148" s="2" t="s">
        <v>69</v>
      </c>
      <c r="C148" s="2">
        <v>19</v>
      </c>
      <c r="D148" s="2">
        <v>19</v>
      </c>
      <c r="E148" s="2">
        <v>20</v>
      </c>
      <c r="F148" s="4">
        <v>4.6598322460391422E-3</v>
      </c>
    </row>
    <row r="149" spans="1:6" x14ac:dyDescent="0.25">
      <c r="A149" s="2" t="s">
        <v>72</v>
      </c>
      <c r="B149" s="2" t="s">
        <v>73</v>
      </c>
      <c r="C149" s="2">
        <v>19</v>
      </c>
      <c r="D149" s="2">
        <v>20</v>
      </c>
      <c r="E149" s="2">
        <v>20</v>
      </c>
      <c r="F149" s="4">
        <v>4.6598322460391422E-3</v>
      </c>
    </row>
    <row r="150" spans="1:6" x14ac:dyDescent="0.25">
      <c r="A150" s="2" t="s">
        <v>75</v>
      </c>
      <c r="B150" s="2" t="s">
        <v>74</v>
      </c>
      <c r="C150" s="2">
        <v>19</v>
      </c>
      <c r="D150" s="2">
        <v>20</v>
      </c>
      <c r="E150" s="2">
        <v>20</v>
      </c>
      <c r="F150" s="4">
        <v>4.6598322460391422E-3</v>
      </c>
    </row>
    <row r="151" spans="1:6" x14ac:dyDescent="0.25">
      <c r="A151" s="2" t="s">
        <v>63</v>
      </c>
      <c r="B151" s="2" t="s">
        <v>62</v>
      </c>
      <c r="C151" s="2">
        <v>19</v>
      </c>
      <c r="D151" s="2">
        <v>19</v>
      </c>
      <c r="E151" s="2">
        <v>19</v>
      </c>
      <c r="F151" s="4">
        <v>4.4268406337371856E-3</v>
      </c>
    </row>
    <row r="152" spans="1:6" x14ac:dyDescent="0.25">
      <c r="A152" s="2" t="s">
        <v>65</v>
      </c>
      <c r="B152" s="2" t="s">
        <v>64</v>
      </c>
      <c r="C152" s="2">
        <v>19</v>
      </c>
      <c r="D152" s="2">
        <v>19</v>
      </c>
      <c r="E152" s="2">
        <v>19</v>
      </c>
      <c r="F152" s="4">
        <v>4.4268406337371856E-3</v>
      </c>
    </row>
    <row r="153" spans="1:6" x14ac:dyDescent="0.25">
      <c r="A153" s="2" t="s">
        <v>67</v>
      </c>
      <c r="B153" s="2" t="s">
        <v>69</v>
      </c>
      <c r="C153" s="2">
        <v>19</v>
      </c>
      <c r="D153" s="2">
        <v>19</v>
      </c>
      <c r="E153" s="2">
        <v>19</v>
      </c>
      <c r="F153" s="4">
        <v>4.4268406337371856E-3</v>
      </c>
    </row>
    <row r="154" spans="1:6" x14ac:dyDescent="0.25">
      <c r="A154" s="2" t="s">
        <v>68</v>
      </c>
      <c r="B154" s="2" t="s">
        <v>75</v>
      </c>
      <c r="C154" s="2">
        <v>19</v>
      </c>
      <c r="D154" s="2">
        <v>19</v>
      </c>
      <c r="E154" s="2">
        <v>19</v>
      </c>
      <c r="F154" s="4">
        <v>4.4268406337371856E-3</v>
      </c>
    </row>
    <row r="155" spans="1:6" x14ac:dyDescent="0.25">
      <c r="A155" s="2" t="s">
        <v>69</v>
      </c>
      <c r="B155" s="2" t="s">
        <v>75</v>
      </c>
      <c r="C155" s="2">
        <v>19</v>
      </c>
      <c r="D155" s="2">
        <v>19</v>
      </c>
      <c r="E155" s="2">
        <v>19</v>
      </c>
      <c r="F155" s="4">
        <v>4.4268406337371856E-3</v>
      </c>
    </row>
    <row r="156" spans="1:6" x14ac:dyDescent="0.25">
      <c r="A156" s="2" t="s">
        <v>71</v>
      </c>
      <c r="B156" s="2" t="s">
        <v>73</v>
      </c>
      <c r="C156" s="2">
        <v>19</v>
      </c>
      <c r="D156" s="2">
        <v>19</v>
      </c>
      <c r="E156" s="2">
        <v>19</v>
      </c>
      <c r="F156" s="4">
        <v>4.4268406337371856E-3</v>
      </c>
    </row>
    <row r="157" spans="1:6" x14ac:dyDescent="0.25">
      <c r="A157" s="2" t="s">
        <v>74</v>
      </c>
      <c r="B157" s="2" t="s">
        <v>64</v>
      </c>
      <c r="C157" s="2">
        <v>19</v>
      </c>
      <c r="D157" s="2">
        <v>19</v>
      </c>
      <c r="E157" s="2">
        <v>19</v>
      </c>
      <c r="F157" s="4">
        <v>4.4268406337371856E-3</v>
      </c>
    </row>
    <row r="158" spans="1:6" x14ac:dyDescent="0.25">
      <c r="A158" s="2" t="s">
        <v>74</v>
      </c>
      <c r="B158" s="2" t="s">
        <v>73</v>
      </c>
      <c r="C158" s="2">
        <v>19</v>
      </c>
      <c r="D158" s="2">
        <v>19</v>
      </c>
      <c r="E158" s="2">
        <v>19</v>
      </c>
      <c r="F158" s="4">
        <v>4.4268406337371856E-3</v>
      </c>
    </row>
    <row r="159" spans="1:6" x14ac:dyDescent="0.25">
      <c r="A159" s="2" t="s">
        <v>62</v>
      </c>
      <c r="B159" s="2" t="s">
        <v>63</v>
      </c>
      <c r="C159" s="2">
        <v>18</v>
      </c>
      <c r="D159" s="2">
        <v>18</v>
      </c>
      <c r="E159" s="2">
        <v>18</v>
      </c>
      <c r="F159" s="4">
        <v>4.1938490214352281E-3</v>
      </c>
    </row>
    <row r="160" spans="1:6" x14ac:dyDescent="0.25">
      <c r="A160" s="2" t="s">
        <v>62</v>
      </c>
      <c r="B160" s="2" t="s">
        <v>72</v>
      </c>
      <c r="C160" s="2">
        <v>18</v>
      </c>
      <c r="D160" s="2">
        <v>18</v>
      </c>
      <c r="E160" s="2">
        <v>18</v>
      </c>
      <c r="F160" s="4">
        <v>4.1938490214352281E-3</v>
      </c>
    </row>
    <row r="161" spans="1:6" x14ac:dyDescent="0.25">
      <c r="A161" s="2" t="s">
        <v>64</v>
      </c>
      <c r="B161" s="2" t="s">
        <v>70</v>
      </c>
      <c r="C161" s="2">
        <v>18</v>
      </c>
      <c r="D161" s="2">
        <v>18</v>
      </c>
      <c r="E161" s="2">
        <v>18</v>
      </c>
      <c r="F161" s="4">
        <v>4.1938490214352281E-3</v>
      </c>
    </row>
    <row r="162" spans="1:6" x14ac:dyDescent="0.25">
      <c r="A162" s="2" t="s">
        <v>65</v>
      </c>
      <c r="B162" s="2" t="s">
        <v>75</v>
      </c>
      <c r="C162" s="2">
        <v>18</v>
      </c>
      <c r="D162" s="2">
        <v>18</v>
      </c>
      <c r="E162" s="2">
        <v>18</v>
      </c>
      <c r="F162" s="4">
        <v>4.1938490214352281E-3</v>
      </c>
    </row>
    <row r="163" spans="1:6" x14ac:dyDescent="0.25">
      <c r="A163" s="2" t="s">
        <v>67</v>
      </c>
      <c r="B163" s="2" t="s">
        <v>62</v>
      </c>
      <c r="C163" s="2">
        <v>18</v>
      </c>
      <c r="D163" s="2">
        <v>18</v>
      </c>
      <c r="E163" s="2">
        <v>18</v>
      </c>
      <c r="F163" s="4">
        <v>4.1938490214352281E-3</v>
      </c>
    </row>
    <row r="164" spans="1:6" x14ac:dyDescent="0.25">
      <c r="A164" s="2" t="s">
        <v>67</v>
      </c>
      <c r="B164" s="2" t="s">
        <v>71</v>
      </c>
      <c r="C164" s="2">
        <v>18</v>
      </c>
      <c r="D164" s="2">
        <v>18</v>
      </c>
      <c r="E164" s="2">
        <v>18</v>
      </c>
      <c r="F164" s="4">
        <v>4.1938490214352281E-3</v>
      </c>
    </row>
    <row r="165" spans="1:6" x14ac:dyDescent="0.25">
      <c r="A165" s="2" t="s">
        <v>69</v>
      </c>
      <c r="B165" s="2" t="s">
        <v>68</v>
      </c>
      <c r="C165" s="2">
        <v>18</v>
      </c>
      <c r="D165" s="2">
        <v>18</v>
      </c>
      <c r="E165" s="2">
        <v>18</v>
      </c>
      <c r="F165" s="4">
        <v>4.1938490214352281E-3</v>
      </c>
    </row>
    <row r="166" spans="1:6" x14ac:dyDescent="0.25">
      <c r="A166" s="2" t="s">
        <v>69</v>
      </c>
      <c r="B166" s="2" t="s">
        <v>74</v>
      </c>
      <c r="C166" s="2">
        <v>18</v>
      </c>
      <c r="D166" s="2">
        <v>18</v>
      </c>
      <c r="E166" s="2">
        <v>18</v>
      </c>
      <c r="F166" s="4">
        <v>4.1938490214352281E-3</v>
      </c>
    </row>
    <row r="167" spans="1:6" x14ac:dyDescent="0.25">
      <c r="A167" s="2" t="s">
        <v>70</v>
      </c>
      <c r="B167" s="2" t="s">
        <v>74</v>
      </c>
      <c r="C167" s="2">
        <v>18</v>
      </c>
      <c r="D167" s="2">
        <v>18</v>
      </c>
      <c r="E167" s="2">
        <v>18</v>
      </c>
      <c r="F167" s="4">
        <v>4.1938490214352281E-3</v>
      </c>
    </row>
    <row r="168" spans="1:6" x14ac:dyDescent="0.25">
      <c r="A168" s="2" t="s">
        <v>71</v>
      </c>
      <c r="B168" s="2" t="s">
        <v>74</v>
      </c>
      <c r="C168" s="2">
        <v>18</v>
      </c>
      <c r="D168" s="2">
        <v>18</v>
      </c>
      <c r="E168" s="2">
        <v>18</v>
      </c>
      <c r="F168" s="4">
        <v>4.1938490214352281E-3</v>
      </c>
    </row>
    <row r="169" spans="1:6" x14ac:dyDescent="0.25">
      <c r="A169" s="2" t="s">
        <v>73</v>
      </c>
      <c r="B169" s="2" t="s">
        <v>75</v>
      </c>
      <c r="C169" s="2">
        <v>18</v>
      </c>
      <c r="D169" s="2">
        <v>18</v>
      </c>
      <c r="E169" s="2">
        <v>18</v>
      </c>
      <c r="F169" s="4">
        <v>4.1938490214352281E-3</v>
      </c>
    </row>
    <row r="170" spans="1:6" x14ac:dyDescent="0.25">
      <c r="A170" s="2" t="s">
        <v>74</v>
      </c>
      <c r="B170" s="2" t="s">
        <v>67</v>
      </c>
      <c r="C170" s="2">
        <v>18</v>
      </c>
      <c r="D170" s="2">
        <v>18</v>
      </c>
      <c r="E170" s="2">
        <v>18</v>
      </c>
      <c r="F170" s="4">
        <v>4.1938490214352281E-3</v>
      </c>
    </row>
    <row r="171" spans="1:6" x14ac:dyDescent="0.25">
      <c r="A171" s="2" t="s">
        <v>71</v>
      </c>
      <c r="B171" s="2" t="s">
        <v>72</v>
      </c>
      <c r="C171" s="2">
        <v>17</v>
      </c>
      <c r="D171" s="2">
        <v>18</v>
      </c>
      <c r="E171" s="2">
        <v>18</v>
      </c>
      <c r="F171" s="4">
        <v>4.1938490214352281E-3</v>
      </c>
    </row>
    <row r="172" spans="1:6" x14ac:dyDescent="0.25">
      <c r="A172" s="2" t="s">
        <v>70</v>
      </c>
      <c r="B172" s="2" t="s">
        <v>63</v>
      </c>
      <c r="C172" s="2">
        <v>16</v>
      </c>
      <c r="D172" s="2">
        <v>17</v>
      </c>
      <c r="E172" s="2">
        <v>17</v>
      </c>
      <c r="F172" s="4">
        <v>3.9608574091332706E-3</v>
      </c>
    </row>
    <row r="173" spans="1:6" x14ac:dyDescent="0.25">
      <c r="A173" s="2" t="s">
        <v>70</v>
      </c>
      <c r="B173" s="2" t="s">
        <v>64</v>
      </c>
      <c r="C173" s="2">
        <v>16</v>
      </c>
      <c r="D173" s="2">
        <v>16</v>
      </c>
      <c r="E173" s="2">
        <v>17</v>
      </c>
      <c r="F173" s="4">
        <v>3.9608574091332706E-3</v>
      </c>
    </row>
    <row r="174" spans="1:6" x14ac:dyDescent="0.25">
      <c r="A174" s="2" t="s">
        <v>72</v>
      </c>
      <c r="B174" s="2" t="s">
        <v>67</v>
      </c>
      <c r="C174" s="2">
        <v>16</v>
      </c>
      <c r="D174" s="2">
        <v>16</v>
      </c>
      <c r="E174" s="2">
        <v>17</v>
      </c>
      <c r="F174" s="4">
        <v>3.9608574091332706E-3</v>
      </c>
    </row>
    <row r="175" spans="1:6" x14ac:dyDescent="0.25">
      <c r="A175" s="2" t="s">
        <v>65</v>
      </c>
      <c r="B175" s="2" t="s">
        <v>73</v>
      </c>
      <c r="C175" s="2">
        <v>16</v>
      </c>
      <c r="D175" s="2">
        <v>16</v>
      </c>
      <c r="E175" s="2">
        <v>16</v>
      </c>
      <c r="F175" s="4">
        <v>3.727865796831314E-3</v>
      </c>
    </row>
    <row r="176" spans="1:6" x14ac:dyDescent="0.25">
      <c r="A176" s="2" t="s">
        <v>70</v>
      </c>
      <c r="B176" s="2" t="s">
        <v>62</v>
      </c>
      <c r="C176" s="2">
        <v>16</v>
      </c>
      <c r="D176" s="2">
        <v>16</v>
      </c>
      <c r="E176" s="2">
        <v>16</v>
      </c>
      <c r="F176" s="4">
        <v>3.727865796831314E-3</v>
      </c>
    </row>
    <row r="177" spans="1:6" x14ac:dyDescent="0.25">
      <c r="A177" s="2" t="s">
        <v>70</v>
      </c>
      <c r="B177" s="2" t="s">
        <v>65</v>
      </c>
      <c r="C177" s="2">
        <v>16</v>
      </c>
      <c r="D177" s="2">
        <v>16</v>
      </c>
      <c r="E177" s="2">
        <v>16</v>
      </c>
      <c r="F177" s="4">
        <v>3.727865796831314E-3</v>
      </c>
    </row>
    <row r="178" spans="1:6" x14ac:dyDescent="0.25">
      <c r="A178" s="2" t="s">
        <v>73</v>
      </c>
      <c r="B178" s="2" t="s">
        <v>68</v>
      </c>
      <c r="C178" s="2">
        <v>16</v>
      </c>
      <c r="D178" s="2">
        <v>16</v>
      </c>
      <c r="E178" s="2">
        <v>16</v>
      </c>
      <c r="F178" s="4">
        <v>3.727865796831314E-3</v>
      </c>
    </row>
    <row r="179" spans="1:6" x14ac:dyDescent="0.25">
      <c r="A179" s="2" t="s">
        <v>74</v>
      </c>
      <c r="B179" s="2" t="s">
        <v>70</v>
      </c>
      <c r="C179" s="2">
        <v>16</v>
      </c>
      <c r="D179" s="2">
        <v>16</v>
      </c>
      <c r="E179" s="2">
        <v>16</v>
      </c>
      <c r="F179" s="4">
        <v>3.727865796831314E-3</v>
      </c>
    </row>
    <row r="180" spans="1:6" x14ac:dyDescent="0.25">
      <c r="A180" s="2" t="s">
        <v>62</v>
      </c>
      <c r="B180" s="2" t="s">
        <v>68</v>
      </c>
      <c r="C180" s="2">
        <v>15</v>
      </c>
      <c r="D180" s="2">
        <v>15</v>
      </c>
      <c r="E180" s="2">
        <v>15</v>
      </c>
      <c r="F180" s="4">
        <v>3.4948741845293569E-3</v>
      </c>
    </row>
    <row r="181" spans="1:6" x14ac:dyDescent="0.25">
      <c r="A181" s="2" t="s">
        <v>67</v>
      </c>
      <c r="B181" s="2" t="s">
        <v>65</v>
      </c>
      <c r="C181" s="2">
        <v>15</v>
      </c>
      <c r="D181" s="2">
        <v>15</v>
      </c>
      <c r="E181" s="2">
        <v>15</v>
      </c>
      <c r="F181" s="4">
        <v>3.4948741845293569E-3</v>
      </c>
    </row>
    <row r="182" spans="1:6" x14ac:dyDescent="0.25">
      <c r="A182" s="2" t="s">
        <v>74</v>
      </c>
      <c r="B182" s="2" t="s">
        <v>66</v>
      </c>
      <c r="C182" s="2">
        <v>14</v>
      </c>
      <c r="D182" s="2">
        <v>14</v>
      </c>
      <c r="E182" s="2">
        <v>14</v>
      </c>
      <c r="F182" s="4">
        <v>3.2618825722273998E-3</v>
      </c>
    </row>
    <row r="183" spans="1:6" x14ac:dyDescent="0.25">
      <c r="A183" s="2" t="s">
        <v>68</v>
      </c>
      <c r="B183" s="2" t="s">
        <v>74</v>
      </c>
      <c r="C183" s="2">
        <v>13</v>
      </c>
      <c r="D183" s="2">
        <v>13</v>
      </c>
      <c r="E183" s="2">
        <v>13</v>
      </c>
      <c r="F183" s="4">
        <v>3.0288909599254432E-3</v>
      </c>
    </row>
  </sheetData>
  <pageMargins left="0.75" right="0.75" top="1" bottom="1" header="0.5" footer="0.5"/>
  <tableParts count="1">
    <tablePart r:id="rId1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1"/>
  <sheetViews>
    <sheetView workbookViewId="0">
      <pane ySplit="1" topLeftCell="A2" activePane="bottomLeft" state="frozen"/>
      <selection pane="bottomLeft" activeCell="D4" sqref="D4"/>
    </sheetView>
  </sheetViews>
  <sheetFormatPr defaultRowHeight="14.3" x14ac:dyDescent="0.25"/>
  <cols>
    <col min="1" max="1" width="12" customWidth="1"/>
    <col min="2" max="3" width="24" customWidth="1"/>
    <col min="4" max="4" width="15" customWidth="1"/>
    <col min="5" max="5" width="18" customWidth="1"/>
    <col min="6" max="6" width="14" customWidth="1"/>
    <col min="7" max="7" width="23" customWidth="1"/>
    <col min="8" max="8" width="55" customWidth="1"/>
  </cols>
  <sheetData>
    <row r="1" spans="1:8" x14ac:dyDescent="0.25">
      <c r="A1" s="5" t="s">
        <v>80</v>
      </c>
      <c r="B1" s="5" t="s">
        <v>76</v>
      </c>
      <c r="C1" s="5" t="s">
        <v>77</v>
      </c>
      <c r="D1" s="5" t="s">
        <v>28</v>
      </c>
      <c r="E1" s="5" t="s">
        <v>29</v>
      </c>
      <c r="F1" s="5" t="s">
        <v>78</v>
      </c>
      <c r="G1" s="5" t="s">
        <v>79</v>
      </c>
      <c r="H1" s="5" t="s">
        <v>21</v>
      </c>
    </row>
    <row r="2" spans="1:8" x14ac:dyDescent="0.25">
      <c r="A2" s="2">
        <v>1</v>
      </c>
      <c r="B2" s="2" t="s">
        <v>71</v>
      </c>
      <c r="C2" s="2" t="s">
        <v>66</v>
      </c>
      <c r="D2" s="2">
        <v>37</v>
      </c>
      <c r="E2" s="2">
        <v>37</v>
      </c>
      <c r="F2" s="2">
        <v>37</v>
      </c>
      <c r="G2" s="4">
        <v>8.6206896551724137E-3</v>
      </c>
      <c r="H2" s="2"/>
    </row>
    <row r="3" spans="1:8" x14ac:dyDescent="0.25">
      <c r="A3" s="2">
        <v>2</v>
      </c>
      <c r="B3" s="2" t="s">
        <v>70</v>
      </c>
      <c r="C3" s="2" t="s">
        <v>75</v>
      </c>
      <c r="D3" s="2">
        <v>35</v>
      </c>
      <c r="E3" s="2">
        <v>35</v>
      </c>
      <c r="F3" s="2">
        <v>35</v>
      </c>
      <c r="G3" s="4">
        <v>8.1547064305684987E-3</v>
      </c>
    </row>
    <row r="4" spans="1:8" x14ac:dyDescent="0.25">
      <c r="A4" s="2">
        <v>3</v>
      </c>
      <c r="B4" s="2" t="s">
        <v>68</v>
      </c>
      <c r="C4" s="2" t="s">
        <v>70</v>
      </c>
      <c r="D4" s="2">
        <v>34</v>
      </c>
      <c r="E4" s="2">
        <v>35</v>
      </c>
      <c r="F4" s="2">
        <v>35</v>
      </c>
      <c r="G4" s="4">
        <v>8.1547064305684987E-3</v>
      </c>
    </row>
    <row r="5" spans="1:8" x14ac:dyDescent="0.25">
      <c r="A5" s="2">
        <v>4</v>
      </c>
      <c r="B5" s="2" t="s">
        <v>69</v>
      </c>
      <c r="C5" s="2" t="s">
        <v>63</v>
      </c>
      <c r="D5" s="2">
        <v>33</v>
      </c>
      <c r="E5" s="2">
        <v>34</v>
      </c>
      <c r="F5" s="2">
        <v>34</v>
      </c>
      <c r="G5" s="4">
        <v>7.9217148182665429E-3</v>
      </c>
    </row>
    <row r="6" spans="1:8" x14ac:dyDescent="0.25">
      <c r="A6" s="2">
        <v>5</v>
      </c>
      <c r="B6" s="2" t="s">
        <v>62</v>
      </c>
      <c r="C6" s="2" t="s">
        <v>73</v>
      </c>
      <c r="D6" s="2">
        <v>32</v>
      </c>
      <c r="E6" s="2">
        <v>32</v>
      </c>
      <c r="F6" s="2">
        <v>32</v>
      </c>
      <c r="G6" s="4">
        <v>7.4557315936626279E-3</v>
      </c>
    </row>
    <row r="7" spans="1:8" x14ac:dyDescent="0.25">
      <c r="A7" s="2">
        <v>6</v>
      </c>
      <c r="B7" s="2" t="s">
        <v>67</v>
      </c>
      <c r="C7" s="2" t="s">
        <v>68</v>
      </c>
      <c r="D7" s="2">
        <v>32</v>
      </c>
      <c r="E7" s="2">
        <v>32</v>
      </c>
      <c r="F7" s="2">
        <v>32</v>
      </c>
      <c r="G7" s="4">
        <v>7.4557315936626279E-3</v>
      </c>
    </row>
    <row r="8" spans="1:8" x14ac:dyDescent="0.25">
      <c r="A8" s="2">
        <v>7</v>
      </c>
      <c r="B8" s="2" t="s">
        <v>70</v>
      </c>
      <c r="C8" s="2" t="s">
        <v>67</v>
      </c>
      <c r="D8" s="2">
        <v>32</v>
      </c>
      <c r="E8" s="2">
        <v>32</v>
      </c>
      <c r="F8" s="2">
        <v>32</v>
      </c>
      <c r="G8" s="4">
        <v>7.4557315936626279E-3</v>
      </c>
    </row>
    <row r="9" spans="1:8" x14ac:dyDescent="0.25">
      <c r="A9" s="2">
        <v>8</v>
      </c>
      <c r="B9" s="2" t="s">
        <v>63</v>
      </c>
      <c r="C9" s="2" t="s">
        <v>71</v>
      </c>
      <c r="D9" s="2">
        <v>31</v>
      </c>
      <c r="E9" s="2">
        <v>32</v>
      </c>
      <c r="F9" s="2">
        <v>32</v>
      </c>
      <c r="G9" s="4">
        <v>7.4557315936626279E-3</v>
      </c>
    </row>
    <row r="10" spans="1:8" x14ac:dyDescent="0.25">
      <c r="A10" s="2">
        <v>9</v>
      </c>
      <c r="B10" s="2" t="s">
        <v>64</v>
      </c>
      <c r="C10" s="2" t="s">
        <v>63</v>
      </c>
      <c r="D10" s="2">
        <v>31</v>
      </c>
      <c r="E10" s="2">
        <v>31</v>
      </c>
      <c r="F10" s="2">
        <v>31</v>
      </c>
      <c r="G10" s="4">
        <v>7.2227399813606713E-3</v>
      </c>
    </row>
    <row r="11" spans="1:8" x14ac:dyDescent="0.25">
      <c r="A11" s="2">
        <v>10</v>
      </c>
      <c r="B11" s="2" t="s">
        <v>71</v>
      </c>
      <c r="C11" s="2" t="s">
        <v>63</v>
      </c>
      <c r="D11" s="2">
        <v>31</v>
      </c>
      <c r="E11" s="2">
        <v>31</v>
      </c>
      <c r="F11" s="2">
        <v>31</v>
      </c>
      <c r="G11" s="4">
        <v>7.2227399813606713E-3</v>
      </c>
    </row>
    <row r="12" spans="1:8" x14ac:dyDescent="0.25">
      <c r="A12" s="2">
        <v>11</v>
      </c>
      <c r="B12" s="2" t="s">
        <v>72</v>
      </c>
      <c r="C12" s="2" t="s">
        <v>75</v>
      </c>
      <c r="D12" s="2">
        <v>31</v>
      </c>
      <c r="E12" s="2">
        <v>31</v>
      </c>
      <c r="F12" s="2">
        <v>31</v>
      </c>
      <c r="G12" s="4">
        <v>7.2227399813606713E-3</v>
      </c>
    </row>
    <row r="13" spans="1:8" x14ac:dyDescent="0.25">
      <c r="A13" s="2">
        <v>12</v>
      </c>
      <c r="B13" s="2" t="s">
        <v>74</v>
      </c>
      <c r="C13" s="2" t="s">
        <v>62</v>
      </c>
      <c r="D13" s="2">
        <v>31</v>
      </c>
      <c r="E13" s="2">
        <v>31</v>
      </c>
      <c r="F13" s="2">
        <v>31</v>
      </c>
      <c r="G13" s="4">
        <v>7.2227399813606713E-3</v>
      </c>
    </row>
    <row r="14" spans="1:8" x14ac:dyDescent="0.25">
      <c r="A14" s="2">
        <v>13</v>
      </c>
      <c r="B14" s="2" t="s">
        <v>75</v>
      </c>
      <c r="C14" s="2" t="s">
        <v>64</v>
      </c>
      <c r="D14" s="2">
        <v>31</v>
      </c>
      <c r="E14" s="2">
        <v>31</v>
      </c>
      <c r="F14" s="2">
        <v>31</v>
      </c>
      <c r="G14" s="4">
        <v>7.2227399813606713E-3</v>
      </c>
    </row>
    <row r="15" spans="1:8" x14ac:dyDescent="0.25">
      <c r="A15" s="2">
        <v>14</v>
      </c>
      <c r="B15" s="2" t="s">
        <v>64</v>
      </c>
      <c r="C15" s="2" t="s">
        <v>71</v>
      </c>
      <c r="D15" s="2">
        <v>30</v>
      </c>
      <c r="E15" s="2">
        <v>30</v>
      </c>
      <c r="F15" s="2">
        <v>30</v>
      </c>
      <c r="G15" s="4">
        <v>6.9897483690587138E-3</v>
      </c>
    </row>
    <row r="16" spans="1:8" x14ac:dyDescent="0.25">
      <c r="A16" s="2">
        <v>15</v>
      </c>
      <c r="B16" s="2" t="s">
        <v>72</v>
      </c>
      <c r="C16" s="2" t="s">
        <v>62</v>
      </c>
      <c r="D16" s="2">
        <v>30</v>
      </c>
      <c r="E16" s="2">
        <v>30</v>
      </c>
      <c r="F16" s="2">
        <v>30</v>
      </c>
      <c r="G16" s="4">
        <v>6.9897483690587138E-3</v>
      </c>
    </row>
    <row r="17" spans="1:7" x14ac:dyDescent="0.25">
      <c r="A17" s="2">
        <v>16</v>
      </c>
      <c r="B17" s="2" t="s">
        <v>64</v>
      </c>
      <c r="C17" s="2" t="s">
        <v>69</v>
      </c>
      <c r="D17" s="2">
        <v>29</v>
      </c>
      <c r="E17" s="2">
        <v>30</v>
      </c>
      <c r="F17" s="2">
        <v>30</v>
      </c>
      <c r="G17" s="4">
        <v>6.9897483690587138E-3</v>
      </c>
    </row>
    <row r="18" spans="1:7" x14ac:dyDescent="0.25">
      <c r="A18" s="2">
        <v>17</v>
      </c>
      <c r="B18" s="2" t="s">
        <v>71</v>
      </c>
      <c r="C18" s="2" t="s">
        <v>68</v>
      </c>
      <c r="D18" s="2">
        <v>29</v>
      </c>
      <c r="E18" s="2">
        <v>30</v>
      </c>
      <c r="F18" s="2">
        <v>30</v>
      </c>
      <c r="G18" s="4">
        <v>6.9897483690587138E-3</v>
      </c>
    </row>
    <row r="19" spans="1:7" x14ac:dyDescent="0.25">
      <c r="A19" s="2">
        <v>18</v>
      </c>
      <c r="B19" s="2" t="s">
        <v>74</v>
      </c>
      <c r="C19" s="2" t="s">
        <v>65</v>
      </c>
      <c r="D19" s="2">
        <v>29</v>
      </c>
      <c r="E19" s="2">
        <v>30</v>
      </c>
      <c r="F19" s="2">
        <v>30</v>
      </c>
      <c r="G19" s="4">
        <v>6.9897483690587138E-3</v>
      </c>
    </row>
    <row r="20" spans="1:7" x14ac:dyDescent="0.25">
      <c r="A20" s="2">
        <v>19</v>
      </c>
      <c r="B20" s="2" t="s">
        <v>65</v>
      </c>
      <c r="C20" s="2" t="s">
        <v>72</v>
      </c>
      <c r="D20" s="2">
        <v>28</v>
      </c>
      <c r="E20" s="2">
        <v>30</v>
      </c>
      <c r="F20" s="2">
        <v>30</v>
      </c>
      <c r="G20" s="4">
        <v>6.9897483690587138E-3</v>
      </c>
    </row>
    <row r="21" spans="1:7" x14ac:dyDescent="0.25">
      <c r="A21" s="2">
        <v>20</v>
      </c>
      <c r="B21" s="2" t="s">
        <v>72</v>
      </c>
      <c r="C21" s="2" t="s">
        <v>63</v>
      </c>
      <c r="D21" s="2">
        <v>29</v>
      </c>
      <c r="E21" s="2">
        <v>29</v>
      </c>
      <c r="F21" s="2">
        <v>29</v>
      </c>
      <c r="G21" s="4">
        <v>6.7567567567567571E-3</v>
      </c>
    </row>
  </sheetData>
  <pageMargins left="0.75" right="0.75" top="1" bottom="1" header="0.5" footer="0.5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7"/>
  <sheetViews>
    <sheetView workbookViewId="0">
      <pane ySplit="1" topLeftCell="A2" activePane="bottomLeft" state="frozen"/>
      <selection pane="bottomLeft" activeCell="D4" sqref="D4"/>
    </sheetView>
  </sheetViews>
  <sheetFormatPr defaultRowHeight="14.3" x14ac:dyDescent="0.25"/>
  <cols>
    <col min="1" max="1" width="55" customWidth="1"/>
    <col min="2" max="2" width="12" customWidth="1"/>
    <col min="3" max="3" width="24" customWidth="1"/>
    <col min="4" max="4" width="23" customWidth="1"/>
    <col min="5" max="5" width="17" customWidth="1"/>
    <col min="6" max="6" width="21" customWidth="1"/>
    <col min="7" max="7" width="22" customWidth="1"/>
    <col min="8" max="8" width="55" customWidth="1"/>
  </cols>
  <sheetData>
    <row r="1" spans="1:8" x14ac:dyDescent="0.25">
      <c r="A1" s="5" t="s">
        <v>81</v>
      </c>
      <c r="B1" s="5" t="s">
        <v>82</v>
      </c>
      <c r="C1" s="5" t="s">
        <v>83</v>
      </c>
      <c r="D1" s="5" t="s">
        <v>84</v>
      </c>
      <c r="E1" s="5" t="s">
        <v>85</v>
      </c>
      <c r="F1" s="5" t="s">
        <v>86</v>
      </c>
      <c r="G1" s="5" t="s">
        <v>87</v>
      </c>
      <c r="H1" s="5" t="s">
        <v>21</v>
      </c>
    </row>
    <row r="2" spans="1:8" ht="28.55" x14ac:dyDescent="0.25">
      <c r="A2" s="2" t="s">
        <v>88</v>
      </c>
      <c r="B2" s="2">
        <v>1</v>
      </c>
      <c r="C2" s="2" t="s">
        <v>89</v>
      </c>
      <c r="D2" s="2">
        <v>677</v>
      </c>
      <c r="E2" s="2">
        <v>0</v>
      </c>
      <c r="F2" s="4">
        <v>0</v>
      </c>
      <c r="G2" s="4">
        <v>1</v>
      </c>
      <c r="H2" s="2" t="s">
        <v>90</v>
      </c>
    </row>
    <row r="3" spans="1:8" x14ac:dyDescent="0.25">
      <c r="A3" s="2" t="s">
        <v>88</v>
      </c>
      <c r="B3" s="2">
        <v>2</v>
      </c>
      <c r="C3" s="2" t="s">
        <v>91</v>
      </c>
      <c r="D3" s="2">
        <v>107</v>
      </c>
      <c r="E3" s="2">
        <v>570</v>
      </c>
      <c r="F3" s="4">
        <v>0.84194977843426888</v>
      </c>
      <c r="G3" s="4">
        <v>0.1580502215657312</v>
      </c>
    </row>
    <row r="4" spans="1:8" x14ac:dyDescent="0.25">
      <c r="A4" s="2" t="s">
        <v>88</v>
      </c>
      <c r="B4" s="2">
        <v>3</v>
      </c>
      <c r="C4" s="2" t="s">
        <v>92</v>
      </c>
      <c r="D4" s="2">
        <v>11</v>
      </c>
      <c r="E4" s="2">
        <v>96</v>
      </c>
      <c r="F4" s="4">
        <v>0.89719626168224298</v>
      </c>
      <c r="G4" s="4">
        <v>0.10280373831775701</v>
      </c>
    </row>
    <row r="5" spans="1:8" x14ac:dyDescent="0.25">
      <c r="A5" s="2" t="s">
        <v>93</v>
      </c>
      <c r="B5" s="2">
        <v>1</v>
      </c>
      <c r="C5" s="2" t="s">
        <v>94</v>
      </c>
      <c r="D5" s="2">
        <v>164</v>
      </c>
      <c r="E5" s="2">
        <v>0</v>
      </c>
      <c r="F5" s="4">
        <v>0</v>
      </c>
      <c r="G5" s="4">
        <v>1</v>
      </c>
    </row>
    <row r="6" spans="1:8" x14ac:dyDescent="0.25">
      <c r="A6" s="2" t="s">
        <v>93</v>
      </c>
      <c r="B6" s="2">
        <v>2</v>
      </c>
      <c r="C6" s="2" t="s">
        <v>95</v>
      </c>
      <c r="D6" s="2">
        <v>19</v>
      </c>
      <c r="E6" s="2">
        <v>145</v>
      </c>
      <c r="F6" s="4">
        <v>0.88414634146341464</v>
      </c>
      <c r="G6" s="4">
        <v>0.1158536585365854</v>
      </c>
    </row>
    <row r="7" spans="1:8" x14ac:dyDescent="0.25">
      <c r="A7" s="2" t="s">
        <v>93</v>
      </c>
      <c r="B7" s="2">
        <v>3</v>
      </c>
      <c r="C7" s="2" t="s">
        <v>96</v>
      </c>
      <c r="D7" s="2">
        <v>1</v>
      </c>
      <c r="E7" s="2">
        <v>18</v>
      </c>
      <c r="F7" s="4">
        <v>0.94736842105263153</v>
      </c>
      <c r="G7" s="4">
        <v>5.2631578947368418E-2</v>
      </c>
    </row>
  </sheetData>
  <pageMargins left="0.75" right="0.75" top="1" bottom="1" header="0.5" footer="0.5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G8"/>
  <sheetViews>
    <sheetView workbookViewId="0">
      <pane ySplit="1" topLeftCell="A2" activePane="bottomLeft" state="frozen"/>
      <selection pane="bottomLeft" activeCell="E15" sqref="E15"/>
    </sheetView>
  </sheetViews>
  <sheetFormatPr defaultRowHeight="14.3" x14ac:dyDescent="0.25"/>
  <cols>
    <col min="1" max="1" width="12" customWidth="1"/>
    <col min="2" max="2" width="21" customWidth="1"/>
    <col min="3" max="3" width="15" customWidth="1"/>
    <col min="4" max="4" width="14" customWidth="1"/>
    <col min="5" max="5" width="18" customWidth="1"/>
    <col min="6" max="6" width="22" customWidth="1"/>
    <col min="7" max="7" width="14" customWidth="1"/>
  </cols>
  <sheetData>
    <row r="1" spans="1:7" x14ac:dyDescent="0.25">
      <c r="A1" s="5" t="s">
        <v>80</v>
      </c>
      <c r="B1" s="5" t="s">
        <v>97</v>
      </c>
      <c r="C1" s="5" t="s">
        <v>28</v>
      </c>
      <c r="D1" s="5" t="s">
        <v>98</v>
      </c>
      <c r="E1" s="5" t="s">
        <v>29</v>
      </c>
      <c r="F1" s="5" t="s">
        <v>99</v>
      </c>
      <c r="G1" s="5" t="s">
        <v>100</v>
      </c>
    </row>
    <row r="2" spans="1:7" x14ac:dyDescent="0.25">
      <c r="A2" s="2">
        <v>1</v>
      </c>
      <c r="B2" s="2" t="s">
        <v>101</v>
      </c>
      <c r="C2" s="2">
        <v>290</v>
      </c>
      <c r="D2" s="2">
        <v>373</v>
      </c>
      <c r="E2" s="2">
        <v>345</v>
      </c>
      <c r="F2" s="4">
        <v>0.31763417305585978</v>
      </c>
      <c r="G2" s="2">
        <v>913</v>
      </c>
    </row>
    <row r="3" spans="1:7" x14ac:dyDescent="0.25">
      <c r="A3" s="2">
        <v>2</v>
      </c>
      <c r="B3" s="2" t="s">
        <v>102</v>
      </c>
      <c r="C3" s="2">
        <v>250</v>
      </c>
      <c r="D3" s="2">
        <v>309</v>
      </c>
      <c r="E3" s="2">
        <v>290</v>
      </c>
      <c r="F3" s="4">
        <v>0.2738225629791895</v>
      </c>
      <c r="G3" s="2">
        <v>913</v>
      </c>
    </row>
    <row r="4" spans="1:7" x14ac:dyDescent="0.25">
      <c r="A4" s="2">
        <v>3</v>
      </c>
      <c r="B4" s="2" t="s">
        <v>103</v>
      </c>
      <c r="C4" s="2">
        <v>245</v>
      </c>
      <c r="D4" s="2">
        <v>303</v>
      </c>
      <c r="E4" s="2">
        <v>272</v>
      </c>
      <c r="F4" s="4">
        <v>0.26834611171960571</v>
      </c>
      <c r="G4" s="2">
        <v>913</v>
      </c>
    </row>
    <row r="5" spans="1:7" x14ac:dyDescent="0.25">
      <c r="A5" s="2">
        <v>4</v>
      </c>
      <c r="B5" s="2" t="s">
        <v>104</v>
      </c>
      <c r="C5" s="2">
        <v>211</v>
      </c>
      <c r="D5" s="2">
        <v>246</v>
      </c>
      <c r="E5" s="2">
        <v>237</v>
      </c>
      <c r="F5" s="4">
        <v>0.2311062431544359</v>
      </c>
      <c r="G5" s="2">
        <v>913</v>
      </c>
    </row>
    <row r="6" spans="1:7" x14ac:dyDescent="0.25">
      <c r="A6" s="2">
        <v>5</v>
      </c>
      <c r="B6" s="2" t="s">
        <v>105</v>
      </c>
      <c r="C6" s="2">
        <v>207</v>
      </c>
      <c r="D6" s="2">
        <v>239</v>
      </c>
      <c r="E6" s="2">
        <v>226</v>
      </c>
      <c r="F6" s="4">
        <v>0.2267250821467689</v>
      </c>
      <c r="G6" s="2">
        <v>913</v>
      </c>
    </row>
    <row r="7" spans="1:7" x14ac:dyDescent="0.25">
      <c r="A7" s="2">
        <v>6</v>
      </c>
      <c r="B7" s="2" t="s">
        <v>106</v>
      </c>
      <c r="C7" s="2">
        <v>167</v>
      </c>
      <c r="D7" s="2">
        <v>196</v>
      </c>
      <c r="E7" s="2">
        <v>189</v>
      </c>
      <c r="F7" s="4">
        <v>0.18291347207009859</v>
      </c>
      <c r="G7" s="2">
        <v>913</v>
      </c>
    </row>
    <row r="8" spans="1:7" x14ac:dyDescent="0.25">
      <c r="A8" s="2">
        <v>7</v>
      </c>
      <c r="B8" s="2" t="s">
        <v>107</v>
      </c>
      <c r="C8" s="2">
        <v>165</v>
      </c>
      <c r="D8" s="2">
        <v>174</v>
      </c>
      <c r="E8" s="2">
        <v>171</v>
      </c>
      <c r="F8" s="4">
        <v>0.18072289156626509</v>
      </c>
      <c r="G8" s="2">
        <v>913</v>
      </c>
    </row>
  </sheetData>
  <pageMargins left="0.75" right="0.75" top="1" bottom="1" header="0.5" footer="0.5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G37"/>
  <sheetViews>
    <sheetView workbookViewId="0">
      <pane ySplit="1" topLeftCell="A2" activePane="bottomLeft" state="frozen"/>
      <selection pane="bottomLeft" activeCell="B1" sqref="B1"/>
    </sheetView>
  </sheetViews>
  <sheetFormatPr defaultRowHeight="14.3" x14ac:dyDescent="0.25"/>
  <cols>
    <col min="1" max="1" width="12" customWidth="1"/>
    <col min="2" max="2" width="35" customWidth="1"/>
    <col min="3" max="3" width="15" customWidth="1"/>
    <col min="4" max="4" width="14" customWidth="1"/>
    <col min="5" max="5" width="18" customWidth="1"/>
    <col min="6" max="6" width="23" customWidth="1"/>
    <col min="7" max="7" width="14" customWidth="1"/>
  </cols>
  <sheetData>
    <row r="1" spans="1:7" x14ac:dyDescent="0.25">
      <c r="A1" s="5" t="s">
        <v>80</v>
      </c>
      <c r="B1" s="5" t="s">
        <v>108</v>
      </c>
      <c r="C1" s="5" t="s">
        <v>28</v>
      </c>
      <c r="D1" s="5" t="s">
        <v>98</v>
      </c>
      <c r="E1" s="5" t="s">
        <v>29</v>
      </c>
      <c r="F1" s="5" t="s">
        <v>99</v>
      </c>
      <c r="G1" s="5" t="s">
        <v>100</v>
      </c>
    </row>
    <row r="2" spans="1:7" x14ac:dyDescent="0.25">
      <c r="A2" s="2">
        <v>1</v>
      </c>
      <c r="B2" s="2" t="s">
        <v>109</v>
      </c>
      <c r="C2" s="2">
        <v>72</v>
      </c>
      <c r="D2" s="2">
        <v>143</v>
      </c>
      <c r="E2" s="2">
        <v>77</v>
      </c>
      <c r="F2" s="4">
        <v>7.8860898138006577E-2</v>
      </c>
      <c r="G2" s="2">
        <v>913</v>
      </c>
    </row>
    <row r="3" spans="1:7" x14ac:dyDescent="0.25">
      <c r="A3" s="2">
        <v>2</v>
      </c>
      <c r="B3" s="2" t="s">
        <v>110</v>
      </c>
      <c r="C3" s="2">
        <v>74</v>
      </c>
      <c r="D3" s="2">
        <v>143</v>
      </c>
      <c r="E3" s="2">
        <v>76</v>
      </c>
      <c r="F3" s="4">
        <v>8.1051478641840091E-2</v>
      </c>
      <c r="G3" s="2">
        <v>913</v>
      </c>
    </row>
    <row r="4" spans="1:7" x14ac:dyDescent="0.25">
      <c r="A4" s="2">
        <v>3</v>
      </c>
      <c r="B4" s="2" t="s">
        <v>111</v>
      </c>
      <c r="C4" s="2">
        <v>81</v>
      </c>
      <c r="D4" s="2">
        <v>135</v>
      </c>
      <c r="E4" s="2">
        <v>85</v>
      </c>
      <c r="F4" s="4">
        <v>8.8718510405257398E-2</v>
      </c>
      <c r="G4" s="2">
        <v>913</v>
      </c>
    </row>
    <row r="5" spans="1:7" x14ac:dyDescent="0.25">
      <c r="A5" s="2">
        <v>4</v>
      </c>
      <c r="B5" s="2" t="s">
        <v>112</v>
      </c>
      <c r="C5" s="2">
        <v>67</v>
      </c>
      <c r="D5" s="2">
        <v>133</v>
      </c>
      <c r="E5" s="2">
        <v>69</v>
      </c>
      <c r="F5" s="4">
        <v>7.3384446878422785E-2</v>
      </c>
      <c r="G5" s="2">
        <v>913</v>
      </c>
    </row>
    <row r="6" spans="1:7" x14ac:dyDescent="0.25">
      <c r="A6" s="2">
        <v>5</v>
      </c>
      <c r="B6" s="2" t="s">
        <v>113</v>
      </c>
      <c r="C6" s="2">
        <v>89</v>
      </c>
      <c r="D6" s="2">
        <v>102</v>
      </c>
      <c r="E6" s="2">
        <v>98</v>
      </c>
      <c r="F6" s="4">
        <v>9.7480832420591454E-2</v>
      </c>
      <c r="G6" s="2">
        <v>913</v>
      </c>
    </row>
    <row r="7" spans="1:7" x14ac:dyDescent="0.25">
      <c r="A7" s="2">
        <v>6</v>
      </c>
      <c r="B7" s="2" t="s">
        <v>114</v>
      </c>
      <c r="C7" s="2">
        <v>91</v>
      </c>
      <c r="D7" s="2">
        <v>96</v>
      </c>
      <c r="E7" s="2">
        <v>95</v>
      </c>
      <c r="F7" s="4">
        <v>9.9671412924424968E-2</v>
      </c>
      <c r="G7" s="2">
        <v>913</v>
      </c>
    </row>
    <row r="8" spans="1:7" x14ac:dyDescent="0.25">
      <c r="A8" s="2">
        <v>7</v>
      </c>
      <c r="B8" s="2" t="s">
        <v>115</v>
      </c>
      <c r="C8" s="2">
        <v>85</v>
      </c>
      <c r="D8" s="2">
        <v>94</v>
      </c>
      <c r="E8" s="2">
        <v>91</v>
      </c>
      <c r="F8" s="4">
        <v>9.3099671412924426E-2</v>
      </c>
      <c r="G8" s="2">
        <v>913</v>
      </c>
    </row>
    <row r="9" spans="1:7" x14ac:dyDescent="0.25">
      <c r="A9" s="2">
        <v>8</v>
      </c>
      <c r="B9" s="2" t="s">
        <v>116</v>
      </c>
      <c r="C9" s="2">
        <v>86</v>
      </c>
      <c r="D9" s="2">
        <v>91</v>
      </c>
      <c r="E9" s="2">
        <v>88</v>
      </c>
      <c r="F9" s="4">
        <v>9.419496166484119E-2</v>
      </c>
      <c r="G9" s="2">
        <v>913</v>
      </c>
    </row>
    <row r="10" spans="1:7" x14ac:dyDescent="0.25">
      <c r="A10" s="2">
        <v>9</v>
      </c>
      <c r="B10" s="2" t="s">
        <v>117</v>
      </c>
      <c r="C10" s="2">
        <v>81</v>
      </c>
      <c r="D10" s="2">
        <v>89</v>
      </c>
      <c r="E10" s="2">
        <v>87</v>
      </c>
      <c r="F10" s="4">
        <v>8.8718510405257398E-2</v>
      </c>
      <c r="G10" s="2">
        <v>913</v>
      </c>
    </row>
    <row r="11" spans="1:7" x14ac:dyDescent="0.25">
      <c r="A11" s="2">
        <v>10</v>
      </c>
      <c r="B11" s="2" t="s">
        <v>118</v>
      </c>
      <c r="C11" s="2">
        <v>82</v>
      </c>
      <c r="D11" s="2">
        <v>87</v>
      </c>
      <c r="E11" s="2">
        <v>85</v>
      </c>
      <c r="F11" s="4">
        <v>8.9813800657174148E-2</v>
      </c>
      <c r="G11" s="2">
        <v>913</v>
      </c>
    </row>
    <row r="12" spans="1:7" x14ac:dyDescent="0.25">
      <c r="A12" s="2">
        <v>11</v>
      </c>
      <c r="B12" s="2" t="s">
        <v>119</v>
      </c>
      <c r="C12" s="2">
        <v>80</v>
      </c>
      <c r="D12" s="2">
        <v>87</v>
      </c>
      <c r="E12" s="2">
        <v>85</v>
      </c>
      <c r="F12" s="4">
        <v>8.7623220153340634E-2</v>
      </c>
      <c r="G12" s="2">
        <v>913</v>
      </c>
    </row>
    <row r="13" spans="1:7" x14ac:dyDescent="0.25">
      <c r="A13" s="2">
        <v>12</v>
      </c>
      <c r="B13" s="2" t="s">
        <v>120</v>
      </c>
      <c r="C13" s="2">
        <v>78</v>
      </c>
      <c r="D13" s="2">
        <v>86</v>
      </c>
      <c r="E13" s="2">
        <v>82</v>
      </c>
      <c r="F13" s="4">
        <v>8.5432639649507119E-2</v>
      </c>
      <c r="G13" s="2">
        <v>913</v>
      </c>
    </row>
    <row r="14" spans="1:7" x14ac:dyDescent="0.25">
      <c r="A14" s="2">
        <v>13</v>
      </c>
      <c r="B14" s="2" t="s">
        <v>121</v>
      </c>
      <c r="C14" s="2">
        <v>77</v>
      </c>
      <c r="D14" s="2">
        <v>86</v>
      </c>
      <c r="E14" s="2">
        <v>83</v>
      </c>
      <c r="F14" s="4">
        <v>8.4337349397590355E-2</v>
      </c>
      <c r="G14" s="2">
        <v>913</v>
      </c>
    </row>
    <row r="15" spans="1:7" x14ac:dyDescent="0.25">
      <c r="A15" s="2">
        <v>14</v>
      </c>
      <c r="B15" s="2" t="s">
        <v>122</v>
      </c>
      <c r="C15" s="2">
        <v>78</v>
      </c>
      <c r="D15" s="2">
        <v>85</v>
      </c>
      <c r="E15" s="2">
        <v>82</v>
      </c>
      <c r="F15" s="4">
        <v>8.5432639649507119E-2</v>
      </c>
      <c r="G15" s="2">
        <v>913</v>
      </c>
    </row>
    <row r="16" spans="1:7" x14ac:dyDescent="0.25">
      <c r="A16" s="2">
        <v>15</v>
      </c>
      <c r="B16" s="2" t="s">
        <v>123</v>
      </c>
      <c r="C16" s="2">
        <v>82</v>
      </c>
      <c r="D16" s="2">
        <v>84</v>
      </c>
      <c r="E16" s="2">
        <v>84</v>
      </c>
      <c r="F16" s="4">
        <v>8.9813800657174148E-2</v>
      </c>
      <c r="G16" s="2">
        <v>913</v>
      </c>
    </row>
    <row r="17" spans="1:7" x14ac:dyDescent="0.25">
      <c r="A17" s="2">
        <v>16</v>
      </c>
      <c r="B17" s="2" t="s">
        <v>124</v>
      </c>
      <c r="C17" s="2">
        <v>76</v>
      </c>
      <c r="D17" s="2">
        <v>84</v>
      </c>
      <c r="E17" s="2">
        <v>82</v>
      </c>
      <c r="F17" s="4">
        <v>8.3242059145673605E-2</v>
      </c>
      <c r="G17" s="2">
        <v>913</v>
      </c>
    </row>
    <row r="18" spans="1:7" x14ac:dyDescent="0.25">
      <c r="A18" s="2">
        <v>17</v>
      </c>
      <c r="B18" s="2" t="s">
        <v>125</v>
      </c>
      <c r="C18" s="2">
        <v>76</v>
      </c>
      <c r="D18" s="2">
        <v>84</v>
      </c>
      <c r="E18" s="2">
        <v>80</v>
      </c>
      <c r="F18" s="4">
        <v>8.3242059145673605E-2</v>
      </c>
      <c r="G18" s="2">
        <v>913</v>
      </c>
    </row>
    <row r="19" spans="1:7" x14ac:dyDescent="0.25">
      <c r="A19" s="2">
        <v>18</v>
      </c>
      <c r="B19" s="2" t="s">
        <v>126</v>
      </c>
      <c r="C19" s="2">
        <v>78</v>
      </c>
      <c r="D19" s="2">
        <v>84</v>
      </c>
      <c r="E19" s="2">
        <v>82</v>
      </c>
      <c r="F19" s="4">
        <v>8.5432639649507119E-2</v>
      </c>
      <c r="G19" s="2">
        <v>913</v>
      </c>
    </row>
    <row r="20" spans="1:7" x14ac:dyDescent="0.25">
      <c r="A20" s="2">
        <v>19</v>
      </c>
      <c r="B20" s="2" t="s">
        <v>127</v>
      </c>
      <c r="C20" s="2">
        <v>80</v>
      </c>
      <c r="D20" s="2">
        <v>83</v>
      </c>
      <c r="E20" s="2">
        <v>82</v>
      </c>
      <c r="F20" s="4">
        <v>8.7623220153340634E-2</v>
      </c>
      <c r="G20" s="2">
        <v>913</v>
      </c>
    </row>
    <row r="21" spans="1:7" x14ac:dyDescent="0.25">
      <c r="A21" s="2">
        <v>20</v>
      </c>
      <c r="B21" s="2" t="s">
        <v>128</v>
      </c>
      <c r="C21" s="2">
        <v>76</v>
      </c>
      <c r="D21" s="2">
        <v>82</v>
      </c>
      <c r="E21" s="2">
        <v>81</v>
      </c>
      <c r="F21" s="4">
        <v>8.3242059145673605E-2</v>
      </c>
      <c r="G21" s="2">
        <v>913</v>
      </c>
    </row>
    <row r="22" spans="1:7" x14ac:dyDescent="0.25">
      <c r="A22" s="2">
        <v>21</v>
      </c>
      <c r="B22" s="2" t="s">
        <v>129</v>
      </c>
      <c r="C22" s="2">
        <v>76</v>
      </c>
      <c r="D22" s="2">
        <v>82</v>
      </c>
      <c r="E22" s="2">
        <v>78</v>
      </c>
      <c r="F22" s="4">
        <v>8.3242059145673605E-2</v>
      </c>
      <c r="G22" s="2">
        <v>913</v>
      </c>
    </row>
    <row r="23" spans="1:7" x14ac:dyDescent="0.25">
      <c r="A23" s="2">
        <v>22</v>
      </c>
      <c r="B23" s="2" t="s">
        <v>130</v>
      </c>
      <c r="C23" s="2">
        <v>75</v>
      </c>
      <c r="D23" s="2">
        <v>81</v>
      </c>
      <c r="E23" s="2">
        <v>81</v>
      </c>
      <c r="F23" s="4">
        <v>8.2146768893756841E-2</v>
      </c>
      <c r="G23" s="2">
        <v>913</v>
      </c>
    </row>
    <row r="24" spans="1:7" x14ac:dyDescent="0.25">
      <c r="A24" s="2">
        <v>23</v>
      </c>
      <c r="B24" s="2" t="s">
        <v>131</v>
      </c>
      <c r="C24" s="2">
        <v>75</v>
      </c>
      <c r="D24" s="2">
        <v>81</v>
      </c>
      <c r="E24" s="2">
        <v>81</v>
      </c>
      <c r="F24" s="4">
        <v>8.2146768893756841E-2</v>
      </c>
      <c r="G24" s="2">
        <v>913</v>
      </c>
    </row>
    <row r="25" spans="1:7" x14ac:dyDescent="0.25">
      <c r="A25" s="2">
        <v>24</v>
      </c>
      <c r="B25" s="2" t="s">
        <v>132</v>
      </c>
      <c r="C25" s="2">
        <v>74</v>
      </c>
      <c r="D25" s="2">
        <v>81</v>
      </c>
      <c r="E25" s="2">
        <v>79</v>
      </c>
      <c r="F25" s="4">
        <v>8.1051478641840091E-2</v>
      </c>
      <c r="G25" s="2">
        <v>913</v>
      </c>
    </row>
    <row r="26" spans="1:7" x14ac:dyDescent="0.25">
      <c r="A26" s="2">
        <v>25</v>
      </c>
      <c r="B26" s="2" t="s">
        <v>133</v>
      </c>
      <c r="C26" s="2">
        <v>78</v>
      </c>
      <c r="D26" s="2">
        <v>79</v>
      </c>
      <c r="E26" s="2">
        <v>79</v>
      </c>
      <c r="F26" s="4">
        <v>8.5432639649507119E-2</v>
      </c>
      <c r="G26" s="2">
        <v>913</v>
      </c>
    </row>
    <row r="27" spans="1:7" x14ac:dyDescent="0.25">
      <c r="A27" s="2">
        <v>27</v>
      </c>
      <c r="B27" s="2" t="s">
        <v>134</v>
      </c>
      <c r="C27" s="2">
        <v>72</v>
      </c>
      <c r="D27" s="2">
        <v>76</v>
      </c>
      <c r="E27" s="2">
        <v>74</v>
      </c>
      <c r="F27" s="4">
        <v>7.8860898138006577E-2</v>
      </c>
      <c r="G27" s="2">
        <v>913</v>
      </c>
    </row>
    <row r="28" spans="1:7" x14ac:dyDescent="0.25">
      <c r="A28" s="2">
        <v>28</v>
      </c>
      <c r="B28" s="2" t="s">
        <v>135</v>
      </c>
      <c r="C28" s="2">
        <v>72</v>
      </c>
      <c r="D28" s="2">
        <v>75</v>
      </c>
      <c r="E28" s="2">
        <v>73</v>
      </c>
      <c r="F28" s="4">
        <v>7.8860898138006577E-2</v>
      </c>
      <c r="G28" s="2">
        <v>913</v>
      </c>
    </row>
    <row r="29" spans="1:7" x14ac:dyDescent="0.25">
      <c r="A29" s="2">
        <v>29</v>
      </c>
      <c r="B29" s="2" t="s">
        <v>136</v>
      </c>
      <c r="C29" s="2">
        <v>72</v>
      </c>
      <c r="D29" s="2">
        <v>75</v>
      </c>
      <c r="E29" s="2">
        <v>75</v>
      </c>
      <c r="F29" s="4">
        <v>7.8860898138006577E-2</v>
      </c>
      <c r="G29" s="2">
        <v>913</v>
      </c>
    </row>
    <row r="30" spans="1:7" x14ac:dyDescent="0.25">
      <c r="A30" s="2">
        <v>30</v>
      </c>
      <c r="B30" s="2" t="s">
        <v>137</v>
      </c>
      <c r="C30" s="2">
        <v>71</v>
      </c>
      <c r="D30" s="2">
        <v>75</v>
      </c>
      <c r="E30" s="2">
        <v>74</v>
      </c>
      <c r="F30" s="4">
        <v>7.7765607886089813E-2</v>
      </c>
      <c r="G30" s="2">
        <v>913</v>
      </c>
    </row>
    <row r="31" spans="1:7" x14ac:dyDescent="0.25">
      <c r="A31" s="2">
        <v>31</v>
      </c>
      <c r="B31" s="2" t="s">
        <v>138</v>
      </c>
      <c r="C31" s="2">
        <v>72</v>
      </c>
      <c r="D31" s="2">
        <v>74</v>
      </c>
      <c r="E31" s="2">
        <v>74</v>
      </c>
      <c r="F31" s="4">
        <v>7.8860898138006577E-2</v>
      </c>
      <c r="G31" s="2">
        <v>913</v>
      </c>
    </row>
    <row r="32" spans="1:7" x14ac:dyDescent="0.25">
      <c r="A32" s="2">
        <v>33</v>
      </c>
      <c r="B32" s="2" t="s">
        <v>139</v>
      </c>
      <c r="C32" s="2">
        <v>65</v>
      </c>
      <c r="D32" s="2">
        <v>70</v>
      </c>
      <c r="E32" s="2">
        <v>70</v>
      </c>
      <c r="F32" s="4">
        <v>7.1193866374589271E-2</v>
      </c>
      <c r="G32" s="2">
        <v>913</v>
      </c>
    </row>
    <row r="33" spans="1:7" x14ac:dyDescent="0.25">
      <c r="A33" s="2">
        <v>34</v>
      </c>
      <c r="B33" s="2" t="s">
        <v>140</v>
      </c>
      <c r="C33" s="2">
        <v>66</v>
      </c>
      <c r="D33" s="2">
        <v>70</v>
      </c>
      <c r="E33" s="2">
        <v>70</v>
      </c>
      <c r="F33" s="4">
        <v>7.2289156626506021E-2</v>
      </c>
      <c r="G33" s="2">
        <v>913</v>
      </c>
    </row>
    <row r="34" spans="1:7" x14ac:dyDescent="0.25">
      <c r="A34" s="2">
        <v>35</v>
      </c>
      <c r="B34" s="2" t="s">
        <v>141</v>
      </c>
      <c r="C34" s="2">
        <v>64</v>
      </c>
      <c r="D34" s="2">
        <v>69</v>
      </c>
      <c r="E34" s="2">
        <v>68</v>
      </c>
      <c r="F34" s="4">
        <v>7.0098576122672507E-2</v>
      </c>
      <c r="G34" s="2">
        <v>913</v>
      </c>
    </row>
    <row r="35" spans="1:7" x14ac:dyDescent="0.25">
      <c r="A35" s="2">
        <v>36</v>
      </c>
      <c r="B35" s="2" t="s">
        <v>142</v>
      </c>
      <c r="C35" s="2">
        <v>61</v>
      </c>
      <c r="D35" s="2">
        <v>68</v>
      </c>
      <c r="E35" s="2">
        <v>65</v>
      </c>
      <c r="F35" s="4">
        <v>6.6812705366922229E-2</v>
      </c>
      <c r="G35" s="2">
        <v>913</v>
      </c>
    </row>
    <row r="36" spans="1:7" x14ac:dyDescent="0.25">
      <c r="A36" s="2">
        <v>37</v>
      </c>
      <c r="B36" s="2" t="s">
        <v>143</v>
      </c>
      <c r="C36" s="2">
        <v>57</v>
      </c>
      <c r="D36" s="2">
        <v>62</v>
      </c>
      <c r="E36" s="2">
        <v>61</v>
      </c>
      <c r="F36" s="4">
        <v>6.2431544359255201E-2</v>
      </c>
      <c r="G36" s="2">
        <v>913</v>
      </c>
    </row>
    <row r="37" spans="1:7" x14ac:dyDescent="0.25">
      <c r="A37" s="2">
        <v>38</v>
      </c>
      <c r="B37" s="2" t="s">
        <v>144</v>
      </c>
      <c r="C37" s="2">
        <v>55</v>
      </c>
      <c r="D37" s="2">
        <v>61</v>
      </c>
      <c r="E37" s="2">
        <v>59</v>
      </c>
      <c r="F37" s="4">
        <v>6.0240963855421693E-2</v>
      </c>
      <c r="G37" s="2">
        <v>913</v>
      </c>
    </row>
  </sheetData>
  <pageMargins left="0.75" right="0.75" top="1" bottom="1" header="0.5" footer="0.5"/>
  <tableParts count="1">
    <tablePart r:id="rId1"/>
  </tablePart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3"/>
  <sheetViews>
    <sheetView workbookViewId="0">
      <pane ySplit="1" topLeftCell="A2" activePane="bottomLeft" state="frozen"/>
      <selection pane="bottomLeft" activeCell="E20" sqref="E20"/>
    </sheetView>
  </sheetViews>
  <sheetFormatPr defaultRowHeight="14.3" x14ac:dyDescent="0.25"/>
  <cols>
    <col min="1" max="1" width="18" customWidth="1"/>
    <col min="2" max="3" width="13" customWidth="1"/>
    <col min="4" max="4" width="23" customWidth="1"/>
  </cols>
  <sheetData>
    <row r="1" spans="1:4" x14ac:dyDescent="0.25">
      <c r="A1" s="5" t="s">
        <v>59</v>
      </c>
      <c r="B1" s="5" t="s">
        <v>60</v>
      </c>
      <c r="C1" s="5" t="s">
        <v>61</v>
      </c>
      <c r="D1" s="5" t="s">
        <v>145</v>
      </c>
    </row>
    <row r="2" spans="1:4" x14ac:dyDescent="0.25">
      <c r="A2" s="2" t="s">
        <v>65</v>
      </c>
      <c r="B2" s="2">
        <v>295</v>
      </c>
      <c r="C2" s="2">
        <v>370</v>
      </c>
      <c r="D2" s="2">
        <v>340</v>
      </c>
    </row>
    <row r="3" spans="1:4" x14ac:dyDescent="0.25">
      <c r="A3" s="2" t="s">
        <v>66</v>
      </c>
      <c r="B3" s="2">
        <v>290</v>
      </c>
      <c r="C3" s="2">
        <v>369</v>
      </c>
      <c r="D3" s="2">
        <v>339</v>
      </c>
    </row>
    <row r="4" spans="1:4" x14ac:dyDescent="0.25">
      <c r="A4" s="2" t="s">
        <v>71</v>
      </c>
      <c r="B4" s="2">
        <v>292</v>
      </c>
      <c r="C4" s="2">
        <v>368</v>
      </c>
      <c r="D4" s="2">
        <v>342</v>
      </c>
    </row>
    <row r="5" spans="1:4" x14ac:dyDescent="0.25">
      <c r="A5" s="2" t="s">
        <v>62</v>
      </c>
      <c r="B5" s="2">
        <v>297</v>
      </c>
      <c r="C5" s="2">
        <v>366</v>
      </c>
      <c r="D5" s="2">
        <v>336</v>
      </c>
    </row>
    <row r="6" spans="1:4" x14ac:dyDescent="0.25">
      <c r="A6" s="2" t="s">
        <v>72</v>
      </c>
      <c r="B6" s="2">
        <v>300</v>
      </c>
      <c r="C6" s="2">
        <v>365</v>
      </c>
      <c r="D6" s="2">
        <v>342</v>
      </c>
    </row>
    <row r="7" spans="1:4" x14ac:dyDescent="0.25">
      <c r="A7" s="2" t="s">
        <v>73</v>
      </c>
      <c r="B7" s="2">
        <v>286</v>
      </c>
      <c r="C7" s="2">
        <v>364</v>
      </c>
      <c r="D7" s="2">
        <v>338</v>
      </c>
    </row>
    <row r="8" spans="1:4" x14ac:dyDescent="0.25">
      <c r="A8" s="2" t="s">
        <v>68</v>
      </c>
      <c r="B8" s="2">
        <v>301</v>
      </c>
      <c r="C8" s="2">
        <v>360</v>
      </c>
      <c r="D8" s="2">
        <v>340</v>
      </c>
    </row>
    <row r="9" spans="1:4" x14ac:dyDescent="0.25">
      <c r="A9" s="2" t="s">
        <v>75</v>
      </c>
      <c r="B9" s="2">
        <v>282</v>
      </c>
      <c r="C9" s="2">
        <v>353</v>
      </c>
      <c r="D9" s="2">
        <v>329</v>
      </c>
    </row>
    <row r="10" spans="1:4" x14ac:dyDescent="0.25">
      <c r="A10" s="2" t="s">
        <v>64</v>
      </c>
      <c r="B10" s="2">
        <v>288</v>
      </c>
      <c r="C10" s="2">
        <v>350</v>
      </c>
      <c r="D10" s="2">
        <v>324</v>
      </c>
    </row>
    <row r="11" spans="1:4" x14ac:dyDescent="0.25">
      <c r="A11" s="2" t="s">
        <v>67</v>
      </c>
      <c r="B11" s="2">
        <v>274</v>
      </c>
      <c r="C11" s="2">
        <v>350</v>
      </c>
      <c r="D11" s="2">
        <v>318</v>
      </c>
    </row>
    <row r="12" spans="1:4" x14ac:dyDescent="0.25">
      <c r="A12" s="2" t="s">
        <v>70</v>
      </c>
      <c r="B12" s="2">
        <v>267</v>
      </c>
      <c r="C12" s="2">
        <v>328</v>
      </c>
      <c r="D12" s="2">
        <v>308</v>
      </c>
    </row>
    <row r="13" spans="1:4" x14ac:dyDescent="0.25">
      <c r="A13" s="2" t="s">
        <v>69</v>
      </c>
      <c r="B13" s="2">
        <v>275</v>
      </c>
      <c r="C13" s="2">
        <v>319</v>
      </c>
      <c r="D13" s="2">
        <v>302</v>
      </c>
    </row>
  </sheetData>
  <pageMargins left="0.75" right="0.75" top="1" bottom="1" header="0.5" footer="0.5"/>
  <tableParts count="1">
    <tablePart r:id="rId1"/>
  </tablePart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E61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18" customWidth="1"/>
    <col min="2" max="2" width="23" customWidth="1"/>
    <col min="3" max="4" width="13" customWidth="1"/>
    <col min="5" max="5" width="18" customWidth="1"/>
  </cols>
  <sheetData>
    <row r="1" spans="1:5" x14ac:dyDescent="0.25">
      <c r="A1" s="5" t="s">
        <v>59</v>
      </c>
      <c r="B1" s="5" t="s">
        <v>146</v>
      </c>
      <c r="C1" s="5" t="s">
        <v>60</v>
      </c>
      <c r="D1" s="5" t="s">
        <v>61</v>
      </c>
      <c r="E1" s="5" t="s">
        <v>29</v>
      </c>
    </row>
    <row r="2" spans="1:5" x14ac:dyDescent="0.25">
      <c r="A2" s="2" t="s">
        <v>65</v>
      </c>
      <c r="B2" s="2" t="s">
        <v>147</v>
      </c>
      <c r="C2" s="2">
        <v>114</v>
      </c>
      <c r="D2" s="2">
        <v>123</v>
      </c>
      <c r="E2" s="2">
        <v>121</v>
      </c>
    </row>
    <row r="3" spans="1:5" x14ac:dyDescent="0.25">
      <c r="A3" s="2" t="s">
        <v>68</v>
      </c>
      <c r="B3" s="2" t="s">
        <v>147</v>
      </c>
      <c r="C3" s="2">
        <v>117</v>
      </c>
      <c r="D3" s="2">
        <v>121</v>
      </c>
      <c r="E3" s="2">
        <v>120</v>
      </c>
    </row>
    <row r="4" spans="1:5" x14ac:dyDescent="0.25">
      <c r="A4" s="2" t="s">
        <v>66</v>
      </c>
      <c r="B4" s="2" t="s">
        <v>147</v>
      </c>
      <c r="C4" s="2">
        <v>104</v>
      </c>
      <c r="D4" s="2">
        <v>116</v>
      </c>
      <c r="E4" s="2">
        <v>111</v>
      </c>
    </row>
    <row r="5" spans="1:5" x14ac:dyDescent="0.25">
      <c r="A5" s="2" t="s">
        <v>72</v>
      </c>
      <c r="B5" s="2" t="s">
        <v>147</v>
      </c>
      <c r="C5" s="2">
        <v>110</v>
      </c>
      <c r="D5" s="2">
        <v>115</v>
      </c>
      <c r="E5" s="2">
        <v>114</v>
      </c>
    </row>
    <row r="6" spans="1:5" x14ac:dyDescent="0.25">
      <c r="A6" s="2" t="s">
        <v>62</v>
      </c>
      <c r="B6" s="2" t="s">
        <v>147</v>
      </c>
      <c r="C6" s="2">
        <v>104</v>
      </c>
      <c r="D6" s="2">
        <v>109</v>
      </c>
      <c r="E6" s="2">
        <v>106</v>
      </c>
    </row>
    <row r="7" spans="1:5" x14ac:dyDescent="0.25">
      <c r="A7" s="2" t="s">
        <v>73</v>
      </c>
      <c r="B7" s="2" t="s">
        <v>147</v>
      </c>
      <c r="C7" s="2">
        <v>101</v>
      </c>
      <c r="D7" s="2">
        <v>108</v>
      </c>
      <c r="E7" s="2">
        <v>106</v>
      </c>
    </row>
    <row r="8" spans="1:5" x14ac:dyDescent="0.25">
      <c r="A8" s="2" t="s">
        <v>64</v>
      </c>
      <c r="B8" s="2" t="s">
        <v>147</v>
      </c>
      <c r="C8" s="2">
        <v>103</v>
      </c>
      <c r="D8" s="2">
        <v>106</v>
      </c>
      <c r="E8" s="2">
        <v>106</v>
      </c>
    </row>
    <row r="9" spans="1:5" x14ac:dyDescent="0.25">
      <c r="A9" s="2" t="s">
        <v>64</v>
      </c>
      <c r="B9" s="2" t="s">
        <v>148</v>
      </c>
      <c r="C9" s="2">
        <v>97</v>
      </c>
      <c r="D9" s="2">
        <v>105</v>
      </c>
      <c r="E9" s="2">
        <v>105</v>
      </c>
    </row>
    <row r="10" spans="1:5" x14ac:dyDescent="0.25">
      <c r="A10" s="2" t="s">
        <v>70</v>
      </c>
      <c r="B10" s="2" t="s">
        <v>147</v>
      </c>
      <c r="C10" s="2">
        <v>98</v>
      </c>
      <c r="D10" s="2">
        <v>103</v>
      </c>
      <c r="E10" s="2">
        <v>100</v>
      </c>
    </row>
    <row r="11" spans="1:5" x14ac:dyDescent="0.25">
      <c r="A11" s="2" t="s">
        <v>71</v>
      </c>
      <c r="B11" s="2" t="s">
        <v>148</v>
      </c>
      <c r="C11" s="2">
        <v>90</v>
      </c>
      <c r="D11" s="2">
        <v>100</v>
      </c>
      <c r="E11" s="2">
        <v>98</v>
      </c>
    </row>
    <row r="12" spans="1:5" x14ac:dyDescent="0.25">
      <c r="A12" s="2" t="s">
        <v>67</v>
      </c>
      <c r="B12" s="2" t="s">
        <v>147</v>
      </c>
      <c r="C12" s="2">
        <v>90</v>
      </c>
      <c r="D12" s="2">
        <v>99</v>
      </c>
      <c r="E12" s="2">
        <v>97</v>
      </c>
    </row>
    <row r="13" spans="1:5" x14ac:dyDescent="0.25">
      <c r="A13" s="2" t="s">
        <v>65</v>
      </c>
      <c r="B13" s="2" t="s">
        <v>148</v>
      </c>
      <c r="C13" s="2">
        <v>91</v>
      </c>
      <c r="D13" s="2">
        <v>97</v>
      </c>
      <c r="E13" s="2">
        <v>95</v>
      </c>
    </row>
    <row r="14" spans="1:5" x14ac:dyDescent="0.25">
      <c r="A14" s="2" t="s">
        <v>67</v>
      </c>
      <c r="B14" s="2" t="s">
        <v>148</v>
      </c>
      <c r="C14" s="2">
        <v>91</v>
      </c>
      <c r="D14" s="2">
        <v>97</v>
      </c>
      <c r="E14" s="2">
        <v>92</v>
      </c>
    </row>
    <row r="15" spans="1:5" x14ac:dyDescent="0.25">
      <c r="A15" s="2" t="s">
        <v>75</v>
      </c>
      <c r="B15" s="2" t="s">
        <v>148</v>
      </c>
      <c r="C15" s="2">
        <v>88</v>
      </c>
      <c r="D15" s="2">
        <v>94</v>
      </c>
      <c r="E15" s="2">
        <v>92</v>
      </c>
    </row>
    <row r="16" spans="1:5" x14ac:dyDescent="0.25">
      <c r="A16" s="2" t="s">
        <v>71</v>
      </c>
      <c r="B16" s="2" t="s">
        <v>147</v>
      </c>
      <c r="C16" s="2">
        <v>86</v>
      </c>
      <c r="D16" s="2">
        <v>93</v>
      </c>
      <c r="E16" s="2">
        <v>89</v>
      </c>
    </row>
    <row r="17" spans="1:5" x14ac:dyDescent="0.25">
      <c r="A17" s="2" t="s">
        <v>69</v>
      </c>
      <c r="B17" s="2" t="s">
        <v>147</v>
      </c>
      <c r="C17" s="2">
        <v>88</v>
      </c>
      <c r="D17" s="2">
        <v>91</v>
      </c>
      <c r="E17" s="2">
        <v>91</v>
      </c>
    </row>
    <row r="18" spans="1:5" x14ac:dyDescent="0.25">
      <c r="A18" s="2" t="s">
        <v>71</v>
      </c>
      <c r="B18" s="2" t="s">
        <v>149</v>
      </c>
      <c r="C18" s="2">
        <v>85</v>
      </c>
      <c r="D18" s="2">
        <v>91</v>
      </c>
      <c r="E18" s="2">
        <v>88</v>
      </c>
    </row>
    <row r="19" spans="1:5" x14ac:dyDescent="0.25">
      <c r="A19" s="2" t="s">
        <v>75</v>
      </c>
      <c r="B19" s="2" t="s">
        <v>147</v>
      </c>
      <c r="C19" s="2">
        <v>86</v>
      </c>
      <c r="D19" s="2">
        <v>89</v>
      </c>
      <c r="E19" s="2">
        <v>89</v>
      </c>
    </row>
    <row r="20" spans="1:5" x14ac:dyDescent="0.25">
      <c r="A20" s="2" t="s">
        <v>72</v>
      </c>
      <c r="B20" s="2" t="s">
        <v>148</v>
      </c>
      <c r="C20" s="2">
        <v>82</v>
      </c>
      <c r="D20" s="2">
        <v>86</v>
      </c>
      <c r="E20" s="2">
        <v>84</v>
      </c>
    </row>
    <row r="21" spans="1:5" x14ac:dyDescent="0.25">
      <c r="A21" s="2" t="s">
        <v>73</v>
      </c>
      <c r="B21" s="2" t="s">
        <v>148</v>
      </c>
      <c r="C21" s="2">
        <v>80</v>
      </c>
      <c r="D21" s="2">
        <v>85</v>
      </c>
      <c r="E21" s="2">
        <v>85</v>
      </c>
    </row>
    <row r="22" spans="1:5" x14ac:dyDescent="0.25">
      <c r="A22" s="2" t="s">
        <v>66</v>
      </c>
      <c r="B22" s="2" t="s">
        <v>148</v>
      </c>
      <c r="C22" s="2">
        <v>77</v>
      </c>
      <c r="D22" s="2">
        <v>81</v>
      </c>
      <c r="E22" s="2">
        <v>80</v>
      </c>
    </row>
    <row r="23" spans="1:5" x14ac:dyDescent="0.25">
      <c r="A23" s="2" t="s">
        <v>62</v>
      </c>
      <c r="B23" s="2" t="s">
        <v>149</v>
      </c>
      <c r="C23" s="2">
        <v>79</v>
      </c>
      <c r="D23" s="2">
        <v>81</v>
      </c>
      <c r="E23" s="2">
        <v>81</v>
      </c>
    </row>
    <row r="24" spans="1:5" x14ac:dyDescent="0.25">
      <c r="A24" s="2" t="s">
        <v>69</v>
      </c>
      <c r="B24" s="2" t="s">
        <v>148</v>
      </c>
      <c r="C24" s="2">
        <v>78</v>
      </c>
      <c r="D24" s="2">
        <v>81</v>
      </c>
      <c r="E24" s="2">
        <v>80</v>
      </c>
    </row>
    <row r="25" spans="1:5" x14ac:dyDescent="0.25">
      <c r="A25" s="2" t="s">
        <v>75</v>
      </c>
      <c r="B25" s="2" t="s">
        <v>149</v>
      </c>
      <c r="C25" s="2">
        <v>73</v>
      </c>
      <c r="D25" s="2">
        <v>78</v>
      </c>
      <c r="E25" s="2">
        <v>77</v>
      </c>
    </row>
    <row r="26" spans="1:5" x14ac:dyDescent="0.25">
      <c r="A26" s="2" t="s">
        <v>62</v>
      </c>
      <c r="B26" s="2" t="s">
        <v>148</v>
      </c>
      <c r="C26" s="2">
        <v>76</v>
      </c>
      <c r="D26" s="2">
        <v>78</v>
      </c>
      <c r="E26" s="2">
        <v>78</v>
      </c>
    </row>
    <row r="27" spans="1:5" x14ac:dyDescent="0.25">
      <c r="A27" s="2" t="s">
        <v>66</v>
      </c>
      <c r="B27" s="2" t="s">
        <v>149</v>
      </c>
      <c r="C27" s="2">
        <v>74</v>
      </c>
      <c r="D27" s="2">
        <v>78</v>
      </c>
      <c r="E27" s="2">
        <v>76</v>
      </c>
    </row>
    <row r="28" spans="1:5" x14ac:dyDescent="0.25">
      <c r="A28" s="2" t="s">
        <v>72</v>
      </c>
      <c r="B28" s="2" t="s">
        <v>149</v>
      </c>
      <c r="C28" s="2">
        <v>74</v>
      </c>
      <c r="D28" s="2">
        <v>76</v>
      </c>
      <c r="E28" s="2">
        <v>76</v>
      </c>
    </row>
    <row r="29" spans="1:5" x14ac:dyDescent="0.25">
      <c r="A29" s="2" t="s">
        <v>68</v>
      </c>
      <c r="B29" s="2" t="s">
        <v>148</v>
      </c>
      <c r="C29" s="2">
        <v>72</v>
      </c>
      <c r="D29" s="2">
        <v>75</v>
      </c>
      <c r="E29" s="2">
        <v>73</v>
      </c>
    </row>
    <row r="30" spans="1:5" x14ac:dyDescent="0.25">
      <c r="A30" s="2" t="s">
        <v>73</v>
      </c>
      <c r="B30" s="2" t="s">
        <v>150</v>
      </c>
      <c r="C30" s="2">
        <v>72</v>
      </c>
      <c r="D30" s="2">
        <v>75</v>
      </c>
      <c r="E30" s="2">
        <v>73</v>
      </c>
    </row>
    <row r="31" spans="1:5" x14ac:dyDescent="0.25">
      <c r="A31" s="2" t="s">
        <v>73</v>
      </c>
      <c r="B31" s="2" t="s">
        <v>149</v>
      </c>
      <c r="C31" s="2">
        <v>66</v>
      </c>
      <c r="D31" s="2">
        <v>74</v>
      </c>
      <c r="E31" s="2">
        <v>73</v>
      </c>
    </row>
    <row r="32" spans="1:5" x14ac:dyDescent="0.25">
      <c r="A32" s="2" t="s">
        <v>70</v>
      </c>
      <c r="B32" s="2" t="s">
        <v>148</v>
      </c>
      <c r="C32" s="2">
        <v>72</v>
      </c>
      <c r="D32" s="2">
        <v>73</v>
      </c>
      <c r="E32" s="2">
        <v>72</v>
      </c>
    </row>
    <row r="33" spans="1:5" x14ac:dyDescent="0.25">
      <c r="A33" s="2" t="s">
        <v>65</v>
      </c>
      <c r="B33" s="2" t="s">
        <v>149</v>
      </c>
      <c r="C33" s="2">
        <v>69</v>
      </c>
      <c r="D33" s="2">
        <v>70</v>
      </c>
      <c r="E33" s="2">
        <v>69</v>
      </c>
    </row>
    <row r="34" spans="1:5" x14ac:dyDescent="0.25">
      <c r="A34" s="2" t="s">
        <v>62</v>
      </c>
      <c r="B34" s="2" t="s">
        <v>150</v>
      </c>
      <c r="C34" s="2">
        <v>66</v>
      </c>
      <c r="D34" s="2">
        <v>69</v>
      </c>
      <c r="E34" s="2">
        <v>69</v>
      </c>
    </row>
    <row r="35" spans="1:5" x14ac:dyDescent="0.25">
      <c r="A35" s="2" t="s">
        <v>68</v>
      </c>
      <c r="B35" s="2" t="s">
        <v>149</v>
      </c>
      <c r="C35" s="2">
        <v>67</v>
      </c>
      <c r="D35" s="2">
        <v>69</v>
      </c>
      <c r="E35" s="2">
        <v>69</v>
      </c>
    </row>
    <row r="36" spans="1:5" x14ac:dyDescent="0.25">
      <c r="A36" s="2" t="s">
        <v>70</v>
      </c>
      <c r="B36" s="2" t="s">
        <v>149</v>
      </c>
      <c r="C36" s="2">
        <v>66</v>
      </c>
      <c r="D36" s="2">
        <v>68</v>
      </c>
      <c r="E36" s="2">
        <v>68</v>
      </c>
    </row>
    <row r="37" spans="1:5" x14ac:dyDescent="0.25">
      <c r="A37" s="2" t="s">
        <v>75</v>
      </c>
      <c r="B37" s="2" t="s">
        <v>150</v>
      </c>
      <c r="C37" s="2">
        <v>65</v>
      </c>
      <c r="D37" s="2">
        <v>67</v>
      </c>
      <c r="E37" s="2">
        <v>66</v>
      </c>
    </row>
    <row r="38" spans="1:5" x14ac:dyDescent="0.25">
      <c r="A38" s="2" t="s">
        <v>64</v>
      </c>
      <c r="B38" s="2" t="s">
        <v>150</v>
      </c>
      <c r="C38" s="2">
        <v>66</v>
      </c>
      <c r="D38" s="2">
        <v>67</v>
      </c>
      <c r="E38" s="2">
        <v>67</v>
      </c>
    </row>
    <row r="39" spans="1:5" x14ac:dyDescent="0.25">
      <c r="A39" s="2" t="s">
        <v>72</v>
      </c>
      <c r="B39" s="2" t="s">
        <v>150</v>
      </c>
      <c r="C39" s="2">
        <v>65</v>
      </c>
      <c r="D39" s="2">
        <v>67</v>
      </c>
      <c r="E39" s="2">
        <v>65</v>
      </c>
    </row>
    <row r="40" spans="1:5" x14ac:dyDescent="0.25">
      <c r="A40" s="2" t="s">
        <v>69</v>
      </c>
      <c r="B40" s="2" t="s">
        <v>149</v>
      </c>
      <c r="C40" s="2">
        <v>62</v>
      </c>
      <c r="D40" s="2">
        <v>67</v>
      </c>
      <c r="E40" s="2">
        <v>66</v>
      </c>
    </row>
    <row r="41" spans="1:5" x14ac:dyDescent="0.25">
      <c r="A41" s="2" t="s">
        <v>68</v>
      </c>
      <c r="B41" s="2" t="s">
        <v>150</v>
      </c>
      <c r="C41" s="2">
        <v>64</v>
      </c>
      <c r="D41" s="2">
        <v>66</v>
      </c>
      <c r="E41" s="2">
        <v>66</v>
      </c>
    </row>
    <row r="42" spans="1:5" x14ac:dyDescent="0.25">
      <c r="A42" s="2" t="s">
        <v>67</v>
      </c>
      <c r="B42" s="2" t="s">
        <v>150</v>
      </c>
      <c r="C42" s="2">
        <v>63</v>
      </c>
      <c r="D42" s="2">
        <v>65</v>
      </c>
      <c r="E42" s="2">
        <v>64</v>
      </c>
    </row>
    <row r="43" spans="1:5" x14ac:dyDescent="0.25">
      <c r="A43" s="2" t="s">
        <v>66</v>
      </c>
      <c r="B43" s="2" t="s">
        <v>150</v>
      </c>
      <c r="C43" s="2">
        <v>60</v>
      </c>
      <c r="D43" s="2">
        <v>64</v>
      </c>
      <c r="E43" s="2">
        <v>61</v>
      </c>
    </row>
    <row r="44" spans="1:5" x14ac:dyDescent="0.25">
      <c r="A44" s="2" t="s">
        <v>71</v>
      </c>
      <c r="B44" s="2" t="s">
        <v>150</v>
      </c>
      <c r="C44" s="2">
        <v>58</v>
      </c>
      <c r="D44" s="2">
        <v>61</v>
      </c>
      <c r="E44" s="2">
        <v>59</v>
      </c>
    </row>
    <row r="45" spans="1:5" x14ac:dyDescent="0.25">
      <c r="A45" s="2" t="s">
        <v>67</v>
      </c>
      <c r="B45" s="2" t="s">
        <v>149</v>
      </c>
      <c r="C45" s="2">
        <v>55</v>
      </c>
      <c r="D45" s="2">
        <v>60</v>
      </c>
      <c r="E45" s="2">
        <v>58</v>
      </c>
    </row>
    <row r="46" spans="1:5" x14ac:dyDescent="0.25">
      <c r="A46" s="2" t="s">
        <v>70</v>
      </c>
      <c r="B46" s="2" t="s">
        <v>150</v>
      </c>
      <c r="C46" s="2">
        <v>56</v>
      </c>
      <c r="D46" s="2">
        <v>59</v>
      </c>
      <c r="E46" s="2">
        <v>58</v>
      </c>
    </row>
    <row r="47" spans="1:5" x14ac:dyDescent="0.25">
      <c r="A47" s="2" t="s">
        <v>69</v>
      </c>
      <c r="B47" s="2" t="s">
        <v>150</v>
      </c>
      <c r="C47" s="2">
        <v>56</v>
      </c>
      <c r="D47" s="2">
        <v>57</v>
      </c>
      <c r="E47" s="2">
        <v>56</v>
      </c>
    </row>
    <row r="48" spans="1:5" x14ac:dyDescent="0.25">
      <c r="A48" s="2" t="s">
        <v>65</v>
      </c>
      <c r="B48" s="2" t="s">
        <v>150</v>
      </c>
      <c r="C48" s="2">
        <v>53</v>
      </c>
      <c r="D48" s="2">
        <v>56</v>
      </c>
      <c r="E48" s="2">
        <v>54</v>
      </c>
    </row>
    <row r="49" spans="1:5" x14ac:dyDescent="0.25">
      <c r="A49" s="2" t="s">
        <v>64</v>
      </c>
      <c r="B49" s="2" t="s">
        <v>149</v>
      </c>
      <c r="C49" s="2">
        <v>51</v>
      </c>
      <c r="D49" s="2">
        <v>51</v>
      </c>
      <c r="E49" s="2">
        <v>51</v>
      </c>
    </row>
    <row r="50" spans="1:5" x14ac:dyDescent="0.25">
      <c r="A50" s="2" t="s">
        <v>66</v>
      </c>
      <c r="B50" s="2" t="s">
        <v>151</v>
      </c>
      <c r="C50" s="2">
        <v>30</v>
      </c>
      <c r="D50" s="2">
        <v>30</v>
      </c>
      <c r="E50" s="2">
        <v>30</v>
      </c>
    </row>
    <row r="51" spans="1:5" x14ac:dyDescent="0.25">
      <c r="A51" s="2" t="s">
        <v>62</v>
      </c>
      <c r="B51" s="2" t="s">
        <v>151</v>
      </c>
      <c r="C51" s="2">
        <v>29</v>
      </c>
      <c r="D51" s="2">
        <v>29</v>
      </c>
      <c r="E51" s="2">
        <v>29</v>
      </c>
    </row>
    <row r="52" spans="1:5" x14ac:dyDescent="0.25">
      <c r="A52" s="2" t="s">
        <v>67</v>
      </c>
      <c r="B52" s="2" t="s">
        <v>151</v>
      </c>
      <c r="C52" s="2">
        <v>25</v>
      </c>
      <c r="D52" s="2">
        <v>29</v>
      </c>
      <c r="E52" s="2">
        <v>28</v>
      </c>
    </row>
    <row r="53" spans="1:5" x14ac:dyDescent="0.25">
      <c r="A53" s="2" t="s">
        <v>68</v>
      </c>
      <c r="B53" s="2" t="s">
        <v>151</v>
      </c>
      <c r="C53" s="2">
        <v>28</v>
      </c>
      <c r="D53" s="2">
        <v>29</v>
      </c>
      <c r="E53" s="2">
        <v>29</v>
      </c>
    </row>
    <row r="54" spans="1:5" x14ac:dyDescent="0.25">
      <c r="A54" s="2" t="s">
        <v>70</v>
      </c>
      <c r="B54" s="2" t="s">
        <v>151</v>
      </c>
      <c r="C54" s="2">
        <v>25</v>
      </c>
      <c r="D54" s="2">
        <v>25</v>
      </c>
      <c r="E54" s="2">
        <v>25</v>
      </c>
    </row>
    <row r="55" spans="1:5" x14ac:dyDescent="0.25">
      <c r="A55" s="2" t="s">
        <v>75</v>
      </c>
      <c r="B55" s="2" t="s">
        <v>151</v>
      </c>
      <c r="C55" s="2">
        <v>25</v>
      </c>
      <c r="D55" s="2">
        <v>25</v>
      </c>
      <c r="E55" s="2">
        <v>25</v>
      </c>
    </row>
    <row r="56" spans="1:5" x14ac:dyDescent="0.25">
      <c r="A56" s="2" t="s">
        <v>65</v>
      </c>
      <c r="B56" s="2" t="s">
        <v>151</v>
      </c>
      <c r="C56" s="2">
        <v>24</v>
      </c>
      <c r="D56" s="2">
        <v>24</v>
      </c>
      <c r="E56" s="2">
        <v>24</v>
      </c>
    </row>
    <row r="57" spans="1:5" x14ac:dyDescent="0.25">
      <c r="A57" s="2" t="s">
        <v>71</v>
      </c>
      <c r="B57" s="2" t="s">
        <v>151</v>
      </c>
      <c r="C57" s="2">
        <v>23</v>
      </c>
      <c r="D57" s="2">
        <v>23</v>
      </c>
      <c r="E57" s="2">
        <v>23</v>
      </c>
    </row>
    <row r="58" spans="1:5" x14ac:dyDescent="0.25">
      <c r="A58" s="2" t="s">
        <v>69</v>
      </c>
      <c r="B58" s="2" t="s">
        <v>151</v>
      </c>
      <c r="C58" s="2">
        <v>23</v>
      </c>
      <c r="D58" s="2">
        <v>23</v>
      </c>
      <c r="E58" s="2">
        <v>23</v>
      </c>
    </row>
    <row r="59" spans="1:5" x14ac:dyDescent="0.25">
      <c r="A59" s="2" t="s">
        <v>73</v>
      </c>
      <c r="B59" s="2" t="s">
        <v>151</v>
      </c>
      <c r="C59" s="2">
        <v>22</v>
      </c>
      <c r="D59" s="2">
        <v>22</v>
      </c>
      <c r="E59" s="2">
        <v>22</v>
      </c>
    </row>
    <row r="60" spans="1:5" x14ac:dyDescent="0.25">
      <c r="A60" s="2" t="s">
        <v>64</v>
      </c>
      <c r="B60" s="2" t="s">
        <v>151</v>
      </c>
      <c r="C60" s="2">
        <v>20</v>
      </c>
      <c r="D60" s="2">
        <v>21</v>
      </c>
      <c r="E60" s="2">
        <v>21</v>
      </c>
    </row>
    <row r="61" spans="1:5" x14ac:dyDescent="0.25">
      <c r="A61" s="2" t="s">
        <v>72</v>
      </c>
      <c r="B61" s="2" t="s">
        <v>151</v>
      </c>
      <c r="C61" s="2">
        <v>21</v>
      </c>
      <c r="D61" s="2">
        <v>21</v>
      </c>
      <c r="E61" s="2">
        <v>21</v>
      </c>
    </row>
  </sheetData>
  <pageMargins left="0.75" right="0.75" top="1" bottom="1" header="0.5" footer="0.5"/>
  <tableParts count="1">
    <tablePart r:id="rId1"/>
  </tablePart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D22"/>
  <sheetViews>
    <sheetView workbookViewId="0">
      <pane ySplit="1" topLeftCell="A2" activePane="bottomLeft" state="frozen"/>
      <selection pane="bottomLeft" activeCell="G20" sqref="G20"/>
    </sheetView>
  </sheetViews>
  <sheetFormatPr defaultRowHeight="14.3" x14ac:dyDescent="0.25"/>
  <cols>
    <col min="1" max="1" width="24" customWidth="1"/>
    <col min="2" max="2" width="20" customWidth="1"/>
    <col min="3" max="4" width="18" customWidth="1"/>
  </cols>
  <sheetData>
    <row r="1" spans="1:4" x14ac:dyDescent="0.25">
      <c r="A1" s="5" t="s">
        <v>152</v>
      </c>
      <c r="B1" s="5" t="s">
        <v>153</v>
      </c>
      <c r="C1" s="5" t="s">
        <v>154</v>
      </c>
      <c r="D1" s="5" t="s">
        <v>155</v>
      </c>
    </row>
    <row r="2" spans="1:4" x14ac:dyDescent="0.25">
      <c r="A2" s="2" t="s">
        <v>156</v>
      </c>
      <c r="B2" s="2">
        <v>249</v>
      </c>
      <c r="C2" s="2">
        <v>106</v>
      </c>
      <c r="D2" s="2">
        <f>T_12_Form_Analysis[[#This Row],[Forms Started]]-T_12_Form_Analysis[[#This Row],[Forms Submitted]]</f>
        <v>143</v>
      </c>
    </row>
    <row r="3" spans="1:4" x14ac:dyDescent="0.25">
      <c r="A3" s="2" t="s">
        <v>157</v>
      </c>
      <c r="B3" s="2">
        <v>81</v>
      </c>
      <c r="C3" s="2">
        <v>57</v>
      </c>
      <c r="D3" s="2">
        <f>T_12_Form_Analysis[[#This Row],[Forms Started]]-T_12_Form_Analysis[[#This Row],[Forms Submitted]]</f>
        <v>24</v>
      </c>
    </row>
    <row r="4" spans="1:4" x14ac:dyDescent="0.25">
      <c r="A4" s="2" t="s">
        <v>158</v>
      </c>
      <c r="B4" s="2">
        <v>181</v>
      </c>
      <c r="C4" s="2">
        <v>139</v>
      </c>
      <c r="D4" s="2">
        <f>T_12_Form_Analysis[[#This Row],[Forms Started]]-T_12_Form_Analysis[[#This Row],[Forms Submitted]]</f>
        <v>42</v>
      </c>
    </row>
    <row r="5" spans="1:4" x14ac:dyDescent="0.25">
      <c r="A5" s="2" t="s">
        <v>159</v>
      </c>
      <c r="B5" s="2">
        <v>128</v>
      </c>
      <c r="C5" s="2">
        <v>106</v>
      </c>
      <c r="D5" s="2">
        <f>T_12_Form_Analysis[[#This Row],[Forms Started]]-T_12_Form_Analysis[[#This Row],[Forms Submitted]]</f>
        <v>22</v>
      </c>
    </row>
    <row r="6" spans="1:4" x14ac:dyDescent="0.25">
      <c r="A6" s="2" t="s">
        <v>160</v>
      </c>
      <c r="B6" s="2">
        <v>292</v>
      </c>
      <c r="C6" s="2">
        <v>159</v>
      </c>
      <c r="D6" s="2">
        <f>T_12_Form_Analysis[[#This Row],[Forms Started]]-T_12_Form_Analysis[[#This Row],[Forms Submitted]]</f>
        <v>133</v>
      </c>
    </row>
    <row r="7" spans="1:4" x14ac:dyDescent="0.25">
      <c r="A7" s="2" t="s">
        <v>161</v>
      </c>
      <c r="B7" s="2">
        <v>0</v>
      </c>
      <c r="C7" s="2">
        <v>0</v>
      </c>
      <c r="D7" s="2">
        <f>T_12_Form_Analysis[[#This Row],[Forms Started]]-T_12_Form_Analysis[[#This Row],[Forms Submitted]]</f>
        <v>0</v>
      </c>
    </row>
    <row r="10" spans="1:4" x14ac:dyDescent="0.25">
      <c r="A10" s="1" t="s">
        <v>162</v>
      </c>
    </row>
    <row r="11" spans="1:4" x14ac:dyDescent="0.25">
      <c r="A11" s="1" t="s">
        <v>59</v>
      </c>
      <c r="B11" s="1" t="s">
        <v>34</v>
      </c>
    </row>
    <row r="12" spans="1:4" x14ac:dyDescent="0.25">
      <c r="A12" s="2" t="s">
        <v>72</v>
      </c>
      <c r="B12" s="2">
        <v>160</v>
      </c>
    </row>
    <row r="13" spans="1:4" x14ac:dyDescent="0.25">
      <c r="A13" s="2" t="s">
        <v>64</v>
      </c>
      <c r="B13" s="2">
        <v>138</v>
      </c>
    </row>
    <row r="14" spans="1:4" x14ac:dyDescent="0.25">
      <c r="A14" s="2" t="s">
        <v>65</v>
      </c>
      <c r="B14" s="2">
        <v>90</v>
      </c>
    </row>
    <row r="15" spans="1:4" x14ac:dyDescent="0.25">
      <c r="A15" s="2" t="s">
        <v>71</v>
      </c>
      <c r="B15" s="2">
        <v>46</v>
      </c>
    </row>
    <row r="18" spans="1:2" x14ac:dyDescent="0.25">
      <c r="A18" s="1" t="s">
        <v>163</v>
      </c>
    </row>
    <row r="19" spans="1:2" x14ac:dyDescent="0.25">
      <c r="A19" s="1" t="s">
        <v>27</v>
      </c>
      <c r="B19" s="1" t="s">
        <v>34</v>
      </c>
    </row>
    <row r="20" spans="1:2" x14ac:dyDescent="0.25">
      <c r="A20" s="2" t="s">
        <v>42</v>
      </c>
      <c r="B20" s="2">
        <v>225</v>
      </c>
    </row>
    <row r="21" spans="1:2" x14ac:dyDescent="0.25">
      <c r="A21" s="2" t="s">
        <v>44</v>
      </c>
      <c r="B21" s="2">
        <v>171</v>
      </c>
    </row>
    <row r="22" spans="1:2" x14ac:dyDescent="0.25">
      <c r="A22" s="2" t="s">
        <v>46</v>
      </c>
      <c r="B22" s="2">
        <v>38</v>
      </c>
    </row>
  </sheetData>
  <pageMargins left="0.75" right="0.75" top="1" bottom="1" header="0.5" footer="0.5"/>
  <tableParts count="1">
    <tablePart r:id="rId1"/>
  </tablePart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22"/>
  <sheetViews>
    <sheetView workbookViewId="0">
      <pane ySplit="1" topLeftCell="A2" activePane="bottomLeft" state="frozen"/>
      <selection pane="bottomLeft" activeCell="F23" sqref="F23"/>
    </sheetView>
  </sheetViews>
  <sheetFormatPr defaultRowHeight="14.3" x14ac:dyDescent="0.25"/>
  <cols>
    <col min="1" max="1" width="22" customWidth="1"/>
    <col min="2" max="2" width="21" customWidth="1"/>
    <col min="3" max="3" width="27" customWidth="1"/>
    <col min="4" max="4" width="22" customWidth="1"/>
  </cols>
  <sheetData>
    <row r="1" spans="1:4" x14ac:dyDescent="0.25">
      <c r="A1" s="5" t="s">
        <v>164</v>
      </c>
      <c r="B1" s="5" t="s">
        <v>165</v>
      </c>
      <c r="C1" s="5" t="s">
        <v>166</v>
      </c>
      <c r="D1" s="5" t="s">
        <v>167</v>
      </c>
    </row>
    <row r="2" spans="1:4" x14ac:dyDescent="0.25">
      <c r="A2" s="2" t="s">
        <v>168</v>
      </c>
      <c r="B2" s="2">
        <v>149</v>
      </c>
      <c r="C2" s="2">
        <v>118</v>
      </c>
      <c r="D2" s="2">
        <v>140</v>
      </c>
    </row>
    <row r="3" spans="1:4" x14ac:dyDescent="0.25">
      <c r="A3" s="2" t="s">
        <v>169</v>
      </c>
      <c r="B3" s="2">
        <v>131</v>
      </c>
      <c r="C3" s="2">
        <v>113</v>
      </c>
      <c r="D3" s="2">
        <v>125</v>
      </c>
    </row>
    <row r="4" spans="1:4" x14ac:dyDescent="0.25">
      <c r="A4" s="2" t="s">
        <v>170</v>
      </c>
      <c r="B4" s="2">
        <v>85</v>
      </c>
      <c r="C4" s="2">
        <v>85</v>
      </c>
      <c r="D4" s="2">
        <v>91</v>
      </c>
    </row>
    <row r="5" spans="1:4" x14ac:dyDescent="0.25">
      <c r="A5" s="2" t="s">
        <v>171</v>
      </c>
      <c r="B5" s="2">
        <v>74</v>
      </c>
      <c r="C5" s="2">
        <v>74</v>
      </c>
      <c r="D5" s="2">
        <v>79</v>
      </c>
    </row>
    <row r="6" spans="1:4" x14ac:dyDescent="0.25">
      <c r="A6" s="2" t="s">
        <v>172</v>
      </c>
      <c r="B6" s="2">
        <v>52</v>
      </c>
      <c r="C6" s="2">
        <v>52</v>
      </c>
      <c r="D6" s="2">
        <v>55</v>
      </c>
    </row>
    <row r="7" spans="1:4" x14ac:dyDescent="0.25">
      <c r="A7" s="2" t="s">
        <v>173</v>
      </c>
      <c r="B7" s="2">
        <v>49</v>
      </c>
      <c r="C7" s="2">
        <v>49</v>
      </c>
      <c r="D7" s="2">
        <v>52</v>
      </c>
    </row>
    <row r="10" spans="1:4" x14ac:dyDescent="0.25">
      <c r="A10" s="1" t="s">
        <v>174</v>
      </c>
    </row>
    <row r="11" spans="1:4" x14ac:dyDescent="0.25">
      <c r="A11" s="1" t="s">
        <v>59</v>
      </c>
      <c r="B11" s="1" t="s">
        <v>152</v>
      </c>
      <c r="C11" s="1" t="s">
        <v>165</v>
      </c>
    </row>
    <row r="12" spans="1:4" x14ac:dyDescent="0.25">
      <c r="A12" s="2" t="s">
        <v>71</v>
      </c>
      <c r="B12" s="2" t="s">
        <v>175</v>
      </c>
      <c r="C12" s="2">
        <v>148</v>
      </c>
    </row>
    <row r="13" spans="1:4" x14ac:dyDescent="0.25">
      <c r="A13" s="2" t="s">
        <v>72</v>
      </c>
      <c r="B13" s="2" t="s">
        <v>160</v>
      </c>
      <c r="C13" s="2">
        <v>145</v>
      </c>
    </row>
    <row r="14" spans="1:4" x14ac:dyDescent="0.25">
      <c r="A14" s="2" t="s">
        <v>65</v>
      </c>
      <c r="B14" s="2" t="s">
        <v>157</v>
      </c>
      <c r="C14" s="2">
        <v>141</v>
      </c>
    </row>
    <row r="15" spans="1:4" x14ac:dyDescent="0.25">
      <c r="A15" s="2" t="s">
        <v>64</v>
      </c>
      <c r="B15" s="2" t="s">
        <v>156</v>
      </c>
      <c r="C15" s="2">
        <v>132</v>
      </c>
    </row>
    <row r="18" spans="1:2" x14ac:dyDescent="0.25">
      <c r="A18" s="1" t="s">
        <v>176</v>
      </c>
    </row>
    <row r="19" spans="1:2" x14ac:dyDescent="0.25">
      <c r="A19" s="1" t="s">
        <v>27</v>
      </c>
      <c r="B19" s="1" t="s">
        <v>165</v>
      </c>
    </row>
    <row r="20" spans="1:2" x14ac:dyDescent="0.25">
      <c r="A20" s="2" t="s">
        <v>42</v>
      </c>
      <c r="B20" s="2">
        <v>296</v>
      </c>
    </row>
    <row r="21" spans="1:2" x14ac:dyDescent="0.25">
      <c r="A21" s="2" t="s">
        <v>44</v>
      </c>
      <c r="B21" s="2">
        <v>229</v>
      </c>
    </row>
    <row r="22" spans="1:2" x14ac:dyDescent="0.25">
      <c r="A22" s="2" t="s">
        <v>46</v>
      </c>
      <c r="B22" s="2">
        <v>41</v>
      </c>
    </row>
  </sheetData>
  <pageMargins left="0.75" right="0.75" top="1" bottom="1" header="0.5" footer="0.5"/>
  <tableParts count="1">
    <tablePart r:id="rId1"/>
  </tablePart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E32"/>
  <sheetViews>
    <sheetView workbookViewId="0">
      <pane ySplit="1" topLeftCell="A5" activePane="bottomLeft" state="frozen"/>
      <selection pane="bottomLeft" activeCell="B11" sqref="B11"/>
    </sheetView>
  </sheetViews>
  <sheetFormatPr defaultRowHeight="14.3" x14ac:dyDescent="0.25"/>
  <cols>
    <col min="1" max="1" width="34" customWidth="1"/>
    <col min="2" max="2" width="24" customWidth="1"/>
    <col min="3" max="3" width="25" customWidth="1"/>
    <col min="4" max="4" width="24" customWidth="1"/>
    <col min="5" max="5" width="55" customWidth="1"/>
  </cols>
  <sheetData>
    <row r="1" spans="1:5" x14ac:dyDescent="0.25">
      <c r="A1" s="5" t="s">
        <v>177</v>
      </c>
      <c r="B1" s="5" t="s">
        <v>178</v>
      </c>
      <c r="E1" s="5" t="s">
        <v>100</v>
      </c>
    </row>
    <row r="2" spans="1:5" x14ac:dyDescent="0.25">
      <c r="A2" s="4">
        <v>0.25</v>
      </c>
      <c r="B2" s="2">
        <v>1441</v>
      </c>
      <c r="E2" s="2">
        <v>913</v>
      </c>
    </row>
    <row r="3" spans="1:5" x14ac:dyDescent="0.25">
      <c r="A3" s="4">
        <v>0.5</v>
      </c>
      <c r="B3" s="2">
        <v>1437</v>
      </c>
      <c r="E3" s="2" t="s">
        <v>179</v>
      </c>
    </row>
    <row r="4" spans="1:5" x14ac:dyDescent="0.25">
      <c r="A4" s="4">
        <v>0.75</v>
      </c>
      <c r="B4" s="2">
        <v>1433</v>
      </c>
    </row>
    <row r="5" spans="1:5" x14ac:dyDescent="0.25">
      <c r="A5" s="4">
        <v>0.9</v>
      </c>
      <c r="B5" s="2">
        <v>1418</v>
      </c>
    </row>
    <row r="6" spans="1:5" x14ac:dyDescent="0.25">
      <c r="A6" s="4">
        <v>1</v>
      </c>
      <c r="B6" s="2">
        <v>1380</v>
      </c>
    </row>
    <row r="9" spans="1:5" x14ac:dyDescent="0.25">
      <c r="A9" s="1" t="s">
        <v>180</v>
      </c>
    </row>
    <row r="10" spans="1:5" x14ac:dyDescent="0.25">
      <c r="A10" s="1" t="s">
        <v>181</v>
      </c>
      <c r="B10" s="1" t="s">
        <v>182</v>
      </c>
      <c r="C10" s="1" t="s">
        <v>99</v>
      </c>
    </row>
    <row r="11" spans="1:5" x14ac:dyDescent="0.25">
      <c r="A11" s="10">
        <v>0.25</v>
      </c>
      <c r="B11" s="2">
        <v>909</v>
      </c>
      <c r="C11" s="4">
        <v>0.99561883899233294</v>
      </c>
    </row>
    <row r="12" spans="1:5" x14ac:dyDescent="0.25">
      <c r="A12" s="11">
        <v>0.5</v>
      </c>
      <c r="B12" s="2">
        <v>897</v>
      </c>
      <c r="C12" s="4">
        <v>0.98247535596933189</v>
      </c>
    </row>
    <row r="13" spans="1:5" x14ac:dyDescent="0.25">
      <c r="A13" s="10">
        <v>0.75</v>
      </c>
      <c r="B13" s="2">
        <v>868</v>
      </c>
      <c r="C13" s="4">
        <v>0.95071193866374593</v>
      </c>
    </row>
    <row r="14" spans="1:5" x14ac:dyDescent="0.25">
      <c r="A14" s="11">
        <v>0.9</v>
      </c>
      <c r="B14" s="2">
        <v>809</v>
      </c>
      <c r="C14" s="4">
        <v>0.88608981380065721</v>
      </c>
    </row>
    <row r="15" spans="1:5" x14ac:dyDescent="0.25">
      <c r="A15" s="10">
        <v>1</v>
      </c>
      <c r="B15" s="2">
        <v>684</v>
      </c>
      <c r="C15" s="4">
        <v>0.74917853231106246</v>
      </c>
    </row>
    <row r="18" spans="1:4" x14ac:dyDescent="0.25">
      <c r="A18" s="1" t="s">
        <v>183</v>
      </c>
    </row>
    <row r="19" spans="1:4" x14ac:dyDescent="0.25">
      <c r="A19" s="1" t="s">
        <v>59</v>
      </c>
      <c r="B19" s="1" t="s">
        <v>184</v>
      </c>
      <c r="C19" s="1" t="s">
        <v>185</v>
      </c>
      <c r="D19" s="1" t="s">
        <v>186</v>
      </c>
    </row>
    <row r="20" spans="1:4" x14ac:dyDescent="0.25">
      <c r="A20" s="2" t="s">
        <v>72</v>
      </c>
      <c r="B20" s="2">
        <v>1086</v>
      </c>
      <c r="C20" s="3">
        <v>68.448434622467772</v>
      </c>
      <c r="D20" s="3">
        <v>75</v>
      </c>
    </row>
    <row r="21" spans="1:4" x14ac:dyDescent="0.25">
      <c r="A21" s="2" t="s">
        <v>65</v>
      </c>
      <c r="B21" s="2">
        <v>1208</v>
      </c>
      <c r="C21" s="3">
        <v>68.108443708609272</v>
      </c>
      <c r="D21" s="3">
        <v>75</v>
      </c>
    </row>
    <row r="22" spans="1:4" x14ac:dyDescent="0.25">
      <c r="A22" s="2" t="s">
        <v>68</v>
      </c>
      <c r="B22" s="2">
        <v>1149</v>
      </c>
      <c r="C22" s="3">
        <v>68.002610966057446</v>
      </c>
      <c r="D22" s="3">
        <v>75</v>
      </c>
    </row>
    <row r="23" spans="1:4" x14ac:dyDescent="0.25">
      <c r="A23" s="2" t="s">
        <v>62</v>
      </c>
      <c r="B23" s="2">
        <v>1224</v>
      </c>
      <c r="C23" s="3">
        <v>67.406045751633982</v>
      </c>
      <c r="D23" s="3">
        <v>75</v>
      </c>
    </row>
    <row r="24" spans="1:4" x14ac:dyDescent="0.25">
      <c r="A24" s="2" t="s">
        <v>64</v>
      </c>
      <c r="B24" s="2">
        <v>1171</v>
      </c>
      <c r="C24" s="3">
        <v>67.211784799316817</v>
      </c>
      <c r="D24" s="3">
        <v>75</v>
      </c>
    </row>
    <row r="25" spans="1:4" x14ac:dyDescent="0.25">
      <c r="A25" s="2" t="s">
        <v>71</v>
      </c>
      <c r="B25" s="2">
        <v>1271</v>
      </c>
      <c r="C25" s="3">
        <v>66.888276947285604</v>
      </c>
      <c r="D25" s="3">
        <v>75</v>
      </c>
    </row>
    <row r="28" spans="1:4" x14ac:dyDescent="0.25">
      <c r="A28" s="1" t="s">
        <v>187</v>
      </c>
    </row>
    <row r="29" spans="1:4" x14ac:dyDescent="0.25">
      <c r="A29" s="1" t="s">
        <v>27</v>
      </c>
      <c r="B29" s="1" t="s">
        <v>184</v>
      </c>
      <c r="C29" s="1" t="s">
        <v>185</v>
      </c>
      <c r="D29" s="1" t="s">
        <v>186</v>
      </c>
    </row>
    <row r="30" spans="1:4" x14ac:dyDescent="0.25">
      <c r="A30" s="2" t="s">
        <v>42</v>
      </c>
      <c r="B30" s="2">
        <v>3880</v>
      </c>
      <c r="C30" s="3">
        <v>67.6868556701031</v>
      </c>
      <c r="D30" s="3">
        <v>75</v>
      </c>
    </row>
    <row r="31" spans="1:4" x14ac:dyDescent="0.25">
      <c r="A31" s="2" t="s">
        <v>44</v>
      </c>
      <c r="B31" s="2">
        <v>2562</v>
      </c>
      <c r="C31" s="3">
        <v>67.855191256830608</v>
      </c>
      <c r="D31" s="3">
        <v>75</v>
      </c>
    </row>
    <row r="32" spans="1:4" x14ac:dyDescent="0.25">
      <c r="A32" s="2" t="s">
        <v>46</v>
      </c>
      <c r="B32" s="2">
        <v>667</v>
      </c>
      <c r="C32" s="3">
        <v>66.716641679160418</v>
      </c>
      <c r="D32" s="3">
        <v>75</v>
      </c>
    </row>
  </sheetData>
  <pageMargins left="0.75" right="0.75" top="1" bottom="1" header="0.5" footer="0.5"/>
  <tableParts count="1">
    <tablePart r:id="rId1"/>
  </tablePart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K59"/>
  <sheetViews>
    <sheetView workbookViewId="0">
      <pane ySplit="1" topLeftCell="A2" activePane="bottomLeft" state="frozen"/>
      <selection pane="bottomLeft" activeCell="E30" sqref="E30"/>
    </sheetView>
  </sheetViews>
  <sheetFormatPr defaultRowHeight="14.3" x14ac:dyDescent="0.25"/>
  <cols>
    <col min="1" max="1" width="33" customWidth="1"/>
    <col min="2" max="10" width="10.625" customWidth="1"/>
    <col min="11" max="11" width="55" customWidth="1"/>
  </cols>
  <sheetData>
    <row r="1" spans="1:11" x14ac:dyDescent="0.25">
      <c r="A1" s="5" t="s">
        <v>188</v>
      </c>
      <c r="B1" s="5" t="s">
        <v>189</v>
      </c>
      <c r="C1" s="5" t="s">
        <v>190</v>
      </c>
      <c r="D1" s="5" t="s">
        <v>191</v>
      </c>
      <c r="E1" s="5" t="s">
        <v>192</v>
      </c>
      <c r="F1" s="5" t="s">
        <v>193</v>
      </c>
      <c r="G1" s="5" t="s">
        <v>194</v>
      </c>
      <c r="H1" s="5" t="s">
        <v>195</v>
      </c>
      <c r="I1" s="5" t="s">
        <v>196</v>
      </c>
      <c r="J1" s="5" t="s">
        <v>197</v>
      </c>
      <c r="K1" s="5" t="s">
        <v>21</v>
      </c>
    </row>
    <row r="2" spans="1:11" ht="14.3" customHeight="1" x14ac:dyDescent="0.25">
      <c r="A2" s="2" t="s">
        <v>189</v>
      </c>
      <c r="B2" s="6">
        <v>1</v>
      </c>
      <c r="C2" s="6">
        <v>0.2569775036669073</v>
      </c>
      <c r="D2" s="6">
        <v>0.1111215731233814</v>
      </c>
      <c r="E2" s="6">
        <v>2.0162810056676979E-2</v>
      </c>
      <c r="F2" s="6">
        <v>2.960010493365723E-2</v>
      </c>
      <c r="G2" s="6">
        <v>4.0512087371286842E-3</v>
      </c>
      <c r="H2" s="6">
        <v>-1.226803637018169E-2</v>
      </c>
      <c r="I2" s="6">
        <v>-2.5303808091350501E-2</v>
      </c>
      <c r="J2" s="6">
        <v>0.1039285124103225</v>
      </c>
      <c r="K2" s="2" t="s">
        <v>199</v>
      </c>
    </row>
    <row r="3" spans="1:11" x14ac:dyDescent="0.25">
      <c r="A3" s="2" t="s">
        <v>190</v>
      </c>
      <c r="B3" s="6">
        <v>0.2569775036669073</v>
      </c>
      <c r="C3" s="6">
        <v>1</v>
      </c>
      <c r="D3" s="6">
        <v>0.1883921160282713</v>
      </c>
      <c r="E3" s="6">
        <v>-1.184027854791325E-3</v>
      </c>
      <c r="F3" s="6">
        <v>-2.2412013942627949E-2</v>
      </c>
      <c r="G3" s="6">
        <v>-6.6458827712034879E-3</v>
      </c>
      <c r="H3" s="6">
        <v>-3.2287083144063762E-2</v>
      </c>
      <c r="I3" s="6">
        <v>-4.0952695154404233E-3</v>
      </c>
      <c r="J3" s="6">
        <v>0.98520205314209908</v>
      </c>
    </row>
    <row r="4" spans="1:11" x14ac:dyDescent="0.25">
      <c r="A4" s="2" t="s">
        <v>191</v>
      </c>
      <c r="B4" s="6">
        <v>0.1111215731233814</v>
      </c>
      <c r="C4" s="6">
        <v>0.1883921160282713</v>
      </c>
      <c r="D4" s="6">
        <v>1</v>
      </c>
      <c r="E4" s="6">
        <v>9.0645341994610842E-2</v>
      </c>
      <c r="F4" s="6">
        <v>0.14713113190029661</v>
      </c>
      <c r="G4" s="6">
        <v>0.1178035995895132</v>
      </c>
      <c r="H4" s="6">
        <v>3.7245438491712267E-2</v>
      </c>
      <c r="I4" s="6">
        <v>0.10045253949334219</v>
      </c>
      <c r="J4" s="6">
        <v>0.17088271513685779</v>
      </c>
    </row>
    <row r="5" spans="1:11" x14ac:dyDescent="0.25">
      <c r="A5" s="2" t="s">
        <v>192</v>
      </c>
      <c r="B5" s="6">
        <v>2.0162810056676979E-2</v>
      </c>
      <c r="C5" s="6">
        <v>-1.184027854791325E-3</v>
      </c>
      <c r="D5" s="6">
        <v>9.0645341994610842E-2</v>
      </c>
      <c r="E5" s="6">
        <v>1</v>
      </c>
      <c r="F5" s="6">
        <v>9.379093419220514E-3</v>
      </c>
      <c r="G5" s="6">
        <v>-2.8366647303605198E-2</v>
      </c>
      <c r="H5" s="6">
        <v>-7.8816000045670784E-2</v>
      </c>
      <c r="I5" s="6">
        <v>1.41873660027404E-2</v>
      </c>
      <c r="J5" s="6">
        <v>-6.6285050616160931E-3</v>
      </c>
    </row>
    <row r="6" spans="1:11" x14ac:dyDescent="0.25">
      <c r="A6" s="2" t="s">
        <v>193</v>
      </c>
      <c r="B6" s="6">
        <v>2.960010493365723E-2</v>
      </c>
      <c r="C6" s="6">
        <v>-2.2412013942627949E-2</v>
      </c>
      <c r="D6" s="6">
        <v>0.14713113190029661</v>
      </c>
      <c r="E6" s="6">
        <v>9.379093419220514E-3</v>
      </c>
      <c r="F6" s="6">
        <v>1</v>
      </c>
      <c r="G6" s="6">
        <v>-1.487045489438297E-2</v>
      </c>
      <c r="H6" s="6">
        <v>5.0536416436730344E-3</v>
      </c>
      <c r="I6" s="6">
        <v>1.763490000092147E-2</v>
      </c>
      <c r="J6" s="6">
        <v>-2.4937665855500109E-2</v>
      </c>
    </row>
    <row r="7" spans="1:11" x14ac:dyDescent="0.25">
      <c r="A7" s="2" t="s">
        <v>194</v>
      </c>
      <c r="B7" s="6">
        <v>4.0512087371286842E-3</v>
      </c>
      <c r="C7" s="6">
        <v>-6.6458827712034879E-3</v>
      </c>
      <c r="D7" s="6">
        <v>0.1178035995895132</v>
      </c>
      <c r="E7" s="6">
        <v>-2.8366647303605198E-2</v>
      </c>
      <c r="F7" s="6">
        <v>-1.487045489438297E-2</v>
      </c>
      <c r="G7" s="6">
        <v>1</v>
      </c>
      <c r="H7" s="6">
        <v>-3.0813613880120161E-2</v>
      </c>
      <c r="I7" s="6">
        <v>2.7552321854401748E-2</v>
      </c>
      <c r="J7" s="6">
        <v>-6.4554513014772816E-3</v>
      </c>
    </row>
    <row r="8" spans="1:11" x14ac:dyDescent="0.25">
      <c r="A8" s="2" t="s">
        <v>195</v>
      </c>
      <c r="B8" s="6">
        <v>-1.226803637018169E-2</v>
      </c>
      <c r="C8" s="6">
        <v>-3.2287083144063762E-2</v>
      </c>
      <c r="D8" s="6">
        <v>3.7245438491712267E-2</v>
      </c>
      <c r="E8" s="6">
        <v>-7.8816000045670784E-2</v>
      </c>
      <c r="F8" s="6">
        <v>5.0536416436730344E-3</v>
      </c>
      <c r="G8" s="6">
        <v>-3.0813613880120161E-2</v>
      </c>
      <c r="H8" s="6">
        <v>1</v>
      </c>
      <c r="I8" s="6">
        <v>-3.9111374001247048E-2</v>
      </c>
      <c r="J8" s="6">
        <v>-3.3270323158812773E-2</v>
      </c>
    </row>
    <row r="9" spans="1:11" x14ac:dyDescent="0.25">
      <c r="A9" s="2" t="s">
        <v>196</v>
      </c>
      <c r="B9" s="6">
        <v>-2.5303808091350501E-2</v>
      </c>
      <c r="C9" s="6">
        <v>-4.0952695154404233E-3</v>
      </c>
      <c r="D9" s="6">
        <v>0.10045253949334219</v>
      </c>
      <c r="E9" s="6">
        <v>1.41873660027404E-2</v>
      </c>
      <c r="F9" s="6">
        <v>1.763490000092147E-2</v>
      </c>
      <c r="G9" s="6">
        <v>2.7552321854401748E-2</v>
      </c>
      <c r="H9" s="6">
        <v>-3.9111374001247048E-2</v>
      </c>
      <c r="I9" s="6">
        <v>1</v>
      </c>
      <c r="J9" s="6">
        <v>-9.7341670429038269E-4</v>
      </c>
    </row>
    <row r="10" spans="1:11" x14ac:dyDescent="0.25">
      <c r="A10" s="2" t="s">
        <v>197</v>
      </c>
      <c r="B10" s="6">
        <v>0.1039285124103225</v>
      </c>
      <c r="C10" s="6">
        <v>0.98520205314209908</v>
      </c>
      <c r="D10" s="6">
        <v>0.17088271513685779</v>
      </c>
      <c r="E10" s="6">
        <v>-6.6285050616160931E-3</v>
      </c>
      <c r="F10" s="6">
        <v>-2.4937665855500109E-2</v>
      </c>
      <c r="G10" s="6">
        <v>-6.4554513014772816E-3</v>
      </c>
      <c r="H10" s="6">
        <v>-3.3270323158812773E-2</v>
      </c>
      <c r="I10" s="6">
        <v>-9.7341670429038269E-4</v>
      </c>
      <c r="J10" s="6">
        <v>1</v>
      </c>
    </row>
    <row r="11" spans="1:11" x14ac:dyDescent="0.25">
      <c r="A11" s="2" t="s">
        <v>198</v>
      </c>
      <c r="B11" s="2"/>
      <c r="C11" s="2"/>
      <c r="D11" s="2"/>
      <c r="E11" s="2"/>
      <c r="F11" s="2"/>
      <c r="G11" s="2"/>
      <c r="H11" s="2"/>
      <c r="I11" s="2"/>
      <c r="J11" s="2"/>
    </row>
    <row r="14" spans="1:11" x14ac:dyDescent="0.25">
      <c r="A14" s="1" t="s">
        <v>200</v>
      </c>
    </row>
    <row r="15" spans="1:11" x14ac:dyDescent="0.25">
      <c r="A15" s="1" t="s">
        <v>188</v>
      </c>
      <c r="B15" s="1" t="s">
        <v>201</v>
      </c>
    </row>
    <row r="16" spans="1:11" x14ac:dyDescent="0.25">
      <c r="A16" s="2" t="s">
        <v>189</v>
      </c>
      <c r="B16" s="2" t="s">
        <v>202</v>
      </c>
    </row>
    <row r="17" spans="1:4" x14ac:dyDescent="0.25">
      <c r="A17" s="2" t="s">
        <v>190</v>
      </c>
      <c r="B17" s="2" t="s">
        <v>203</v>
      </c>
    </row>
    <row r="18" spans="1:4" x14ac:dyDescent="0.25">
      <c r="A18" s="2" t="s">
        <v>191</v>
      </c>
      <c r="B18" s="2" t="s">
        <v>204</v>
      </c>
    </row>
    <row r="19" spans="1:4" x14ac:dyDescent="0.25">
      <c r="A19" s="2" t="s">
        <v>192</v>
      </c>
      <c r="B19" s="2" t="s">
        <v>205</v>
      </c>
    </row>
    <row r="20" spans="1:4" x14ac:dyDescent="0.25">
      <c r="A20" s="2" t="s">
        <v>193</v>
      </c>
      <c r="B20" s="2" t="s">
        <v>206</v>
      </c>
    </row>
    <row r="21" spans="1:4" x14ac:dyDescent="0.25">
      <c r="A21" s="2" t="s">
        <v>194</v>
      </c>
      <c r="B21" s="2" t="s">
        <v>207</v>
      </c>
    </row>
    <row r="22" spans="1:4" x14ac:dyDescent="0.25">
      <c r="A22" s="2" t="s">
        <v>195</v>
      </c>
      <c r="B22" s="2" t="s">
        <v>208</v>
      </c>
    </row>
    <row r="23" spans="1:4" x14ac:dyDescent="0.25">
      <c r="A23" s="2" t="s">
        <v>196</v>
      </c>
      <c r="B23" s="2" t="s">
        <v>209</v>
      </c>
    </row>
    <row r="24" spans="1:4" x14ac:dyDescent="0.25">
      <c r="A24" s="2" t="s">
        <v>197</v>
      </c>
      <c r="B24" s="2" t="s">
        <v>210</v>
      </c>
    </row>
    <row r="25" spans="1:4" x14ac:dyDescent="0.25">
      <c r="A25" s="2" t="s">
        <v>198</v>
      </c>
      <c r="B25" s="2" t="s">
        <v>211</v>
      </c>
    </row>
    <row r="28" spans="1:4" x14ac:dyDescent="0.25">
      <c r="A28" s="1" t="s">
        <v>212</v>
      </c>
    </row>
    <row r="29" spans="1:4" x14ac:dyDescent="0.25">
      <c r="A29" s="1" t="s">
        <v>213</v>
      </c>
      <c r="B29" s="1" t="s">
        <v>214</v>
      </c>
      <c r="C29" s="1" t="s">
        <v>215</v>
      </c>
      <c r="D29" s="1" t="s">
        <v>216</v>
      </c>
    </row>
    <row r="30" spans="1:4" x14ac:dyDescent="0.25">
      <c r="A30" s="2" t="s">
        <v>190</v>
      </c>
      <c r="B30" s="2" t="s">
        <v>197</v>
      </c>
      <c r="C30" s="2">
        <v>0.98520205314209908</v>
      </c>
      <c r="D30" s="2" t="s">
        <v>217</v>
      </c>
    </row>
    <row r="31" spans="1:4" x14ac:dyDescent="0.25">
      <c r="A31" s="2" t="s">
        <v>189</v>
      </c>
      <c r="B31" s="2" t="s">
        <v>190</v>
      </c>
      <c r="C31" s="2">
        <v>0.2569775036669073</v>
      </c>
      <c r="D31" s="2" t="s">
        <v>218</v>
      </c>
    </row>
    <row r="32" spans="1:4" x14ac:dyDescent="0.25">
      <c r="A32" s="2" t="s">
        <v>190</v>
      </c>
      <c r="B32" s="2" t="s">
        <v>191</v>
      </c>
      <c r="C32" s="2">
        <v>0.1883921160282713</v>
      </c>
      <c r="D32" s="2" t="s">
        <v>218</v>
      </c>
    </row>
    <row r="33" spans="1:4" x14ac:dyDescent="0.25">
      <c r="A33" s="2" t="s">
        <v>191</v>
      </c>
      <c r="B33" s="2" t="s">
        <v>197</v>
      </c>
      <c r="C33" s="2">
        <v>0.17088271513685779</v>
      </c>
      <c r="D33" s="2" t="s">
        <v>218</v>
      </c>
    </row>
    <row r="34" spans="1:4" x14ac:dyDescent="0.25">
      <c r="A34" s="2" t="s">
        <v>191</v>
      </c>
      <c r="B34" s="2" t="s">
        <v>193</v>
      </c>
      <c r="C34" s="2">
        <v>0.14713113190029661</v>
      </c>
      <c r="D34" s="2" t="s">
        <v>218</v>
      </c>
    </row>
    <row r="35" spans="1:4" x14ac:dyDescent="0.25">
      <c r="A35" s="2" t="s">
        <v>191</v>
      </c>
      <c r="B35" s="2" t="s">
        <v>194</v>
      </c>
      <c r="C35" s="2">
        <v>0.1178035995895132</v>
      </c>
      <c r="D35" s="2" t="s">
        <v>218</v>
      </c>
    </row>
    <row r="36" spans="1:4" x14ac:dyDescent="0.25">
      <c r="A36" s="2" t="s">
        <v>189</v>
      </c>
      <c r="B36" s="2" t="s">
        <v>191</v>
      </c>
      <c r="C36" s="2">
        <v>0.1111215731233814</v>
      </c>
      <c r="D36" s="2" t="s">
        <v>218</v>
      </c>
    </row>
    <row r="37" spans="1:4" x14ac:dyDescent="0.25">
      <c r="A37" s="2" t="s">
        <v>189</v>
      </c>
      <c r="B37" s="2" t="s">
        <v>197</v>
      </c>
      <c r="C37" s="2">
        <v>0.1039285124103225</v>
      </c>
      <c r="D37" s="2" t="s">
        <v>218</v>
      </c>
    </row>
    <row r="38" spans="1:4" x14ac:dyDescent="0.25">
      <c r="A38" s="2" t="s">
        <v>191</v>
      </c>
      <c r="B38" s="2" t="s">
        <v>196</v>
      </c>
      <c r="C38" s="2">
        <v>0.10045253949334219</v>
      </c>
      <c r="D38" s="2" t="s">
        <v>218</v>
      </c>
    </row>
    <row r="39" spans="1:4" x14ac:dyDescent="0.25">
      <c r="A39" s="2" t="s">
        <v>191</v>
      </c>
      <c r="B39" s="2" t="s">
        <v>192</v>
      </c>
      <c r="C39" s="2">
        <v>9.0645341994610842E-2</v>
      </c>
      <c r="D39" s="2" t="s">
        <v>218</v>
      </c>
    </row>
    <row r="40" spans="1:4" x14ac:dyDescent="0.25">
      <c r="A40" s="2" t="s">
        <v>192</v>
      </c>
      <c r="B40" s="2" t="s">
        <v>195</v>
      </c>
      <c r="C40" s="2">
        <v>-7.8816000045670784E-2</v>
      </c>
      <c r="D40" s="2" t="s">
        <v>218</v>
      </c>
    </row>
    <row r="41" spans="1:4" x14ac:dyDescent="0.25">
      <c r="A41" s="2" t="s">
        <v>195</v>
      </c>
      <c r="B41" s="2" t="s">
        <v>196</v>
      </c>
      <c r="C41" s="2">
        <v>-3.9111374001247048E-2</v>
      </c>
      <c r="D41" s="2" t="s">
        <v>218</v>
      </c>
    </row>
    <row r="42" spans="1:4" x14ac:dyDescent="0.25">
      <c r="A42" s="2" t="s">
        <v>191</v>
      </c>
      <c r="B42" s="2" t="s">
        <v>195</v>
      </c>
      <c r="C42" s="2">
        <v>3.7245438491712267E-2</v>
      </c>
      <c r="D42" s="2" t="s">
        <v>218</v>
      </c>
    </row>
    <row r="43" spans="1:4" x14ac:dyDescent="0.25">
      <c r="A43" s="2" t="s">
        <v>195</v>
      </c>
      <c r="B43" s="2" t="s">
        <v>197</v>
      </c>
      <c r="C43" s="2">
        <v>-3.3270323158812773E-2</v>
      </c>
      <c r="D43" s="2" t="s">
        <v>218</v>
      </c>
    </row>
    <row r="44" spans="1:4" x14ac:dyDescent="0.25">
      <c r="A44" s="2" t="s">
        <v>190</v>
      </c>
      <c r="B44" s="2" t="s">
        <v>195</v>
      </c>
      <c r="C44" s="2">
        <v>-3.2287083144063762E-2</v>
      </c>
      <c r="D44" s="2" t="s">
        <v>218</v>
      </c>
    </row>
    <row r="45" spans="1:4" x14ac:dyDescent="0.25">
      <c r="A45" s="2" t="s">
        <v>194</v>
      </c>
      <c r="B45" s="2" t="s">
        <v>195</v>
      </c>
      <c r="C45" s="2">
        <v>-3.0813613880120161E-2</v>
      </c>
      <c r="D45" s="2" t="s">
        <v>218</v>
      </c>
    </row>
    <row r="46" spans="1:4" x14ac:dyDescent="0.25">
      <c r="A46" s="2" t="s">
        <v>189</v>
      </c>
      <c r="B46" s="2" t="s">
        <v>193</v>
      </c>
      <c r="C46" s="2">
        <v>2.960010493365723E-2</v>
      </c>
      <c r="D46" s="2" t="s">
        <v>218</v>
      </c>
    </row>
    <row r="47" spans="1:4" x14ac:dyDescent="0.25">
      <c r="A47" s="2" t="s">
        <v>192</v>
      </c>
      <c r="B47" s="2" t="s">
        <v>194</v>
      </c>
      <c r="C47" s="2">
        <v>-2.8366647303605198E-2</v>
      </c>
      <c r="D47" s="2" t="s">
        <v>218</v>
      </c>
    </row>
    <row r="48" spans="1:4" x14ac:dyDescent="0.25">
      <c r="A48" s="2" t="s">
        <v>194</v>
      </c>
      <c r="B48" s="2" t="s">
        <v>196</v>
      </c>
      <c r="C48" s="2">
        <v>2.7552321854401748E-2</v>
      </c>
      <c r="D48" s="2" t="s">
        <v>218</v>
      </c>
    </row>
    <row r="49" spans="1:4" x14ac:dyDescent="0.25">
      <c r="A49" s="2" t="s">
        <v>189</v>
      </c>
      <c r="B49" s="2" t="s">
        <v>196</v>
      </c>
      <c r="C49" s="2">
        <v>-2.5303808091350501E-2</v>
      </c>
      <c r="D49" s="2" t="s">
        <v>218</v>
      </c>
    </row>
    <row r="50" spans="1:4" x14ac:dyDescent="0.25">
      <c r="A50" s="2" t="s">
        <v>193</v>
      </c>
      <c r="B50" s="2" t="s">
        <v>197</v>
      </c>
      <c r="C50" s="2">
        <v>-2.4937665855500109E-2</v>
      </c>
      <c r="D50" s="2" t="s">
        <v>218</v>
      </c>
    </row>
    <row r="51" spans="1:4" x14ac:dyDescent="0.25">
      <c r="A51" s="2" t="s">
        <v>190</v>
      </c>
      <c r="B51" s="2" t="s">
        <v>193</v>
      </c>
      <c r="C51" s="2">
        <v>-2.2412013942627949E-2</v>
      </c>
      <c r="D51" s="2" t="s">
        <v>218</v>
      </c>
    </row>
    <row r="52" spans="1:4" x14ac:dyDescent="0.25">
      <c r="A52" s="2" t="s">
        <v>189</v>
      </c>
      <c r="B52" s="2" t="s">
        <v>192</v>
      </c>
      <c r="C52" s="2">
        <v>2.0162810056676979E-2</v>
      </c>
      <c r="D52" s="2" t="s">
        <v>218</v>
      </c>
    </row>
    <row r="53" spans="1:4" x14ac:dyDescent="0.25">
      <c r="A53" s="2" t="s">
        <v>193</v>
      </c>
      <c r="B53" s="2" t="s">
        <v>196</v>
      </c>
      <c r="C53" s="2">
        <v>1.763490000092147E-2</v>
      </c>
      <c r="D53" s="2" t="s">
        <v>218</v>
      </c>
    </row>
    <row r="54" spans="1:4" x14ac:dyDescent="0.25">
      <c r="A54" s="2" t="s">
        <v>193</v>
      </c>
      <c r="B54" s="2" t="s">
        <v>194</v>
      </c>
      <c r="C54" s="2">
        <v>-1.487045489438297E-2</v>
      </c>
      <c r="D54" s="2" t="s">
        <v>218</v>
      </c>
    </row>
    <row r="55" spans="1:4" x14ac:dyDescent="0.25">
      <c r="A55" s="2" t="s">
        <v>192</v>
      </c>
      <c r="B55" s="2" t="s">
        <v>196</v>
      </c>
      <c r="C55" s="2">
        <v>1.41873660027404E-2</v>
      </c>
      <c r="D55" s="2" t="s">
        <v>218</v>
      </c>
    </row>
    <row r="56" spans="1:4" x14ac:dyDescent="0.25">
      <c r="A56" s="2" t="s">
        <v>189</v>
      </c>
      <c r="B56" s="2" t="s">
        <v>195</v>
      </c>
      <c r="C56" s="2">
        <v>-1.226803637018169E-2</v>
      </c>
      <c r="D56" s="2" t="s">
        <v>218</v>
      </c>
    </row>
    <row r="57" spans="1:4" x14ac:dyDescent="0.25">
      <c r="A57" s="2" t="s">
        <v>192</v>
      </c>
      <c r="B57" s="2" t="s">
        <v>193</v>
      </c>
      <c r="C57" s="2">
        <v>9.379093419220514E-3</v>
      </c>
      <c r="D57" s="2" t="s">
        <v>218</v>
      </c>
    </row>
    <row r="58" spans="1:4" x14ac:dyDescent="0.25">
      <c r="A58" s="2" t="s">
        <v>190</v>
      </c>
      <c r="B58" s="2" t="s">
        <v>194</v>
      </c>
      <c r="C58" s="2">
        <v>-6.6458827712034879E-3</v>
      </c>
      <c r="D58" s="2" t="s">
        <v>218</v>
      </c>
    </row>
    <row r="59" spans="1:4" x14ac:dyDescent="0.25">
      <c r="A59" s="2" t="s">
        <v>192</v>
      </c>
      <c r="B59" s="2" t="s">
        <v>197</v>
      </c>
      <c r="C59" s="2">
        <v>-6.6285050616160931E-3</v>
      </c>
      <c r="D59" s="2" t="s">
        <v>218</v>
      </c>
    </row>
  </sheetData>
  <conditionalFormatting sqref="B2:J10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5" right="0.75" top="1" bottom="1" header="0.5" footer="0.5"/>
  <tableParts count="1">
    <tablePart r:id="rId1"/>
  </tablePart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G13"/>
  <sheetViews>
    <sheetView workbookViewId="0">
      <pane ySplit="1" topLeftCell="A2" activePane="bottomLeft" state="frozen"/>
      <selection pane="bottomLeft" activeCell="A2" sqref="A2"/>
    </sheetView>
  </sheetViews>
  <sheetFormatPr defaultRowHeight="14.3" x14ac:dyDescent="0.25"/>
  <cols>
    <col min="1" max="1" width="17" customWidth="1"/>
    <col min="2" max="2" width="39" customWidth="1"/>
    <col min="3" max="6" width="55" customWidth="1"/>
    <col min="7" max="7" width="12" customWidth="1"/>
  </cols>
  <sheetData>
    <row r="1" spans="1:7" x14ac:dyDescent="0.25">
      <c r="A1" s="5" t="s">
        <v>219</v>
      </c>
      <c r="B1" s="5" t="s">
        <v>0</v>
      </c>
      <c r="C1" s="5" t="s">
        <v>49</v>
      </c>
      <c r="D1" s="5" t="s">
        <v>220</v>
      </c>
      <c r="E1" s="5" t="s">
        <v>221</v>
      </c>
      <c r="F1" s="5" t="s">
        <v>222</v>
      </c>
      <c r="G1" s="5" t="s">
        <v>223</v>
      </c>
    </row>
    <row r="2" spans="1:7" ht="42.8" x14ac:dyDescent="0.25">
      <c r="A2" s="2" t="s">
        <v>224</v>
      </c>
      <c r="B2" s="2" t="s">
        <v>225</v>
      </c>
      <c r="C2" s="2" t="s">
        <v>226</v>
      </c>
      <c r="D2" s="2" t="s">
        <v>227</v>
      </c>
      <c r="E2" s="2" t="s">
        <v>228</v>
      </c>
      <c r="F2" s="2" t="s">
        <v>229</v>
      </c>
      <c r="G2" s="2" t="s">
        <v>230</v>
      </c>
    </row>
    <row r="3" spans="1:7" ht="28.55" x14ac:dyDescent="0.25">
      <c r="A3" s="2" t="s">
        <v>231</v>
      </c>
      <c r="B3" s="2" t="s">
        <v>232</v>
      </c>
      <c r="C3" s="2" t="s">
        <v>233</v>
      </c>
      <c r="D3" s="2" t="s">
        <v>234</v>
      </c>
      <c r="E3" s="2" t="s">
        <v>235</v>
      </c>
      <c r="F3" s="2" t="s">
        <v>236</v>
      </c>
      <c r="G3" s="2" t="s">
        <v>237</v>
      </c>
    </row>
    <row r="4" spans="1:7" ht="28.55" x14ac:dyDescent="0.25">
      <c r="A4" s="2" t="s">
        <v>238</v>
      </c>
      <c r="B4" s="2" t="s">
        <v>239</v>
      </c>
      <c r="C4" s="2" t="s">
        <v>240</v>
      </c>
      <c r="D4" s="2" t="s">
        <v>241</v>
      </c>
      <c r="E4" s="2" t="s">
        <v>242</v>
      </c>
      <c r="F4" s="2" t="s">
        <v>243</v>
      </c>
      <c r="G4" s="2" t="s">
        <v>230</v>
      </c>
    </row>
    <row r="5" spans="1:7" ht="28.55" x14ac:dyDescent="0.25">
      <c r="A5" s="2" t="s">
        <v>244</v>
      </c>
      <c r="B5" s="2" t="s">
        <v>245</v>
      </c>
      <c r="C5" s="2" t="s">
        <v>246</v>
      </c>
      <c r="D5" s="2" t="s">
        <v>247</v>
      </c>
      <c r="E5" s="2" t="s">
        <v>248</v>
      </c>
      <c r="F5" s="2" t="s">
        <v>249</v>
      </c>
      <c r="G5" s="2" t="s">
        <v>230</v>
      </c>
    </row>
    <row r="6" spans="1:7" ht="28.55" x14ac:dyDescent="0.25">
      <c r="A6" s="2" t="s">
        <v>244</v>
      </c>
      <c r="B6" s="2" t="s">
        <v>250</v>
      </c>
      <c r="C6" s="2" t="s">
        <v>251</v>
      </c>
      <c r="D6" s="2" t="s">
        <v>247</v>
      </c>
      <c r="E6" s="2" t="s">
        <v>252</v>
      </c>
      <c r="F6" s="2" t="s">
        <v>253</v>
      </c>
      <c r="G6" s="2" t="s">
        <v>230</v>
      </c>
    </row>
    <row r="7" spans="1:7" ht="28.55" x14ac:dyDescent="0.25">
      <c r="A7" s="2" t="s">
        <v>254</v>
      </c>
      <c r="B7" s="2" t="s">
        <v>255</v>
      </c>
      <c r="C7" s="2" t="s">
        <v>256</v>
      </c>
      <c r="D7" s="2" t="s">
        <v>257</v>
      </c>
      <c r="E7" s="2" t="s">
        <v>258</v>
      </c>
      <c r="F7" s="2" t="s">
        <v>259</v>
      </c>
      <c r="G7" s="2" t="s">
        <v>230</v>
      </c>
    </row>
    <row r="8" spans="1:7" ht="28.55" x14ac:dyDescent="0.25">
      <c r="A8" s="2" t="s">
        <v>260</v>
      </c>
      <c r="B8" s="2" t="s">
        <v>261</v>
      </c>
      <c r="C8" s="2" t="s">
        <v>262</v>
      </c>
      <c r="D8" s="2" t="s">
        <v>263</v>
      </c>
      <c r="E8" s="2" t="s">
        <v>264</v>
      </c>
      <c r="F8" s="2" t="s">
        <v>265</v>
      </c>
      <c r="G8" s="2" t="s">
        <v>237</v>
      </c>
    </row>
    <row r="9" spans="1:7" ht="28.55" x14ac:dyDescent="0.25">
      <c r="A9" s="2" t="s">
        <v>260</v>
      </c>
      <c r="B9" s="2" t="s">
        <v>266</v>
      </c>
      <c r="C9" s="2" t="s">
        <v>267</v>
      </c>
      <c r="D9" s="2" t="s">
        <v>268</v>
      </c>
      <c r="E9" s="2" t="s">
        <v>269</v>
      </c>
      <c r="F9" s="2" t="s">
        <v>270</v>
      </c>
      <c r="G9" s="2" t="s">
        <v>237</v>
      </c>
    </row>
    <row r="10" spans="1:7" ht="28.55" x14ac:dyDescent="0.25">
      <c r="A10" s="2" t="s">
        <v>271</v>
      </c>
      <c r="B10" s="2" t="s">
        <v>272</v>
      </c>
      <c r="C10" s="2" t="s">
        <v>273</v>
      </c>
      <c r="D10" s="2" t="s">
        <v>274</v>
      </c>
      <c r="E10" s="2" t="s">
        <v>275</v>
      </c>
      <c r="F10" s="2" t="s">
        <v>276</v>
      </c>
      <c r="G10" s="2" t="s">
        <v>237</v>
      </c>
    </row>
    <row r="11" spans="1:7" ht="28.55" x14ac:dyDescent="0.25">
      <c r="A11" s="2" t="s">
        <v>22</v>
      </c>
      <c r="B11" s="2" t="s">
        <v>277</v>
      </c>
      <c r="C11" s="2" t="s">
        <v>278</v>
      </c>
      <c r="D11" s="2" t="s">
        <v>279</v>
      </c>
      <c r="E11" s="2" t="s">
        <v>280</v>
      </c>
      <c r="F11" s="2" t="s">
        <v>281</v>
      </c>
      <c r="G11" s="2" t="s">
        <v>282</v>
      </c>
    </row>
    <row r="12" spans="1:7" ht="28.55" x14ac:dyDescent="0.25">
      <c r="A12" s="2" t="s">
        <v>283</v>
      </c>
      <c r="B12" s="2" t="s">
        <v>284</v>
      </c>
      <c r="C12" s="2" t="s">
        <v>285</v>
      </c>
      <c r="D12" s="2" t="s">
        <v>286</v>
      </c>
      <c r="E12" s="2" t="s">
        <v>287</v>
      </c>
      <c r="F12" s="2" t="s">
        <v>288</v>
      </c>
      <c r="G12" s="2" t="s">
        <v>237</v>
      </c>
    </row>
    <row r="13" spans="1:7" ht="42.8" x14ac:dyDescent="0.25">
      <c r="A13" s="2" t="s">
        <v>254</v>
      </c>
      <c r="B13" s="2" t="s">
        <v>289</v>
      </c>
      <c r="C13" s="2" t="s">
        <v>290</v>
      </c>
      <c r="D13" s="2" t="s">
        <v>291</v>
      </c>
      <c r="E13" s="2" t="s">
        <v>292</v>
      </c>
      <c r="F13" s="2" t="s">
        <v>293</v>
      </c>
      <c r="G13" s="2" t="s">
        <v>237</v>
      </c>
    </row>
  </sheetData>
  <pageMargins left="0.75" right="0.75" top="1" bottom="1" header="0.5" footer="0.5"/>
  <tableParts count="1">
    <tablePart r:id="rId1"/>
  </tablePart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E30"/>
  <sheetViews>
    <sheetView tabSelected="1" workbookViewId="0">
      <pane ySplit="1" topLeftCell="A16" activePane="bottomLeft" state="frozen"/>
      <selection pane="bottomLeft" activeCell="B30" sqref="B30"/>
    </sheetView>
  </sheetViews>
  <sheetFormatPr defaultRowHeight="14.3" x14ac:dyDescent="0.25"/>
  <cols>
    <col min="1" max="1" width="52" customWidth="1"/>
    <col min="2" max="5" width="55" customWidth="1"/>
  </cols>
  <sheetData>
    <row r="1" spans="1:5" x14ac:dyDescent="0.25">
      <c r="A1" s="5" t="s">
        <v>294</v>
      </c>
      <c r="B1" s="5" t="s">
        <v>295</v>
      </c>
      <c r="C1" s="5" t="s">
        <v>296</v>
      </c>
      <c r="D1" s="5" t="s">
        <v>297</v>
      </c>
      <c r="E1" s="5" t="s">
        <v>298</v>
      </c>
    </row>
    <row r="2" spans="1:5" ht="28.55" x14ac:dyDescent="0.25">
      <c r="A2" s="2">
        <v>1</v>
      </c>
      <c r="B2" s="2" t="s">
        <v>299</v>
      </c>
      <c r="C2" s="2" t="s">
        <v>300</v>
      </c>
      <c r="D2" s="2" t="s">
        <v>301</v>
      </c>
      <c r="E2" s="2" t="s">
        <v>302</v>
      </c>
    </row>
    <row r="3" spans="1:5" x14ac:dyDescent="0.25">
      <c r="A3" s="2">
        <v>2</v>
      </c>
      <c r="B3" s="2" t="s">
        <v>303</v>
      </c>
      <c r="C3" s="2" t="s">
        <v>304</v>
      </c>
      <c r="D3" s="2" t="s">
        <v>305</v>
      </c>
      <c r="E3" s="2" t="s">
        <v>306</v>
      </c>
    </row>
    <row r="4" spans="1:5" ht="28.55" x14ac:dyDescent="0.25">
      <c r="A4" s="2">
        <v>3</v>
      </c>
      <c r="B4" s="2" t="s">
        <v>307</v>
      </c>
      <c r="C4" s="2" t="s">
        <v>308</v>
      </c>
      <c r="D4" s="2" t="s">
        <v>309</v>
      </c>
      <c r="E4" s="2" t="s">
        <v>310</v>
      </c>
    </row>
    <row r="5" spans="1:5" ht="28.55" x14ac:dyDescent="0.25">
      <c r="A5" s="2">
        <v>4</v>
      </c>
      <c r="B5" s="2" t="s">
        <v>311</v>
      </c>
      <c r="C5" s="2" t="s">
        <v>312</v>
      </c>
      <c r="D5" s="2" t="s">
        <v>313</v>
      </c>
      <c r="E5" s="2" t="s">
        <v>314</v>
      </c>
    </row>
    <row r="6" spans="1:5" x14ac:dyDescent="0.25">
      <c r="A6" s="2">
        <v>5</v>
      </c>
      <c r="B6" s="2" t="s">
        <v>315</v>
      </c>
      <c r="C6" s="2" t="s">
        <v>316</v>
      </c>
      <c r="D6" s="2" t="s">
        <v>317</v>
      </c>
      <c r="E6" s="2" t="s">
        <v>318</v>
      </c>
    </row>
    <row r="7" spans="1:5" ht="28.55" x14ac:dyDescent="0.25">
      <c r="A7" s="2">
        <v>6</v>
      </c>
      <c r="B7" s="2" t="s">
        <v>319</v>
      </c>
      <c r="C7" s="2" t="s">
        <v>320</v>
      </c>
      <c r="D7" s="2" t="s">
        <v>321</v>
      </c>
      <c r="E7" s="2" t="s">
        <v>322</v>
      </c>
    </row>
    <row r="8" spans="1:5" ht="28.55" x14ac:dyDescent="0.25">
      <c r="A8" s="2">
        <v>7</v>
      </c>
      <c r="B8" s="2" t="s">
        <v>323</v>
      </c>
      <c r="C8" s="2" t="s">
        <v>324</v>
      </c>
      <c r="D8" s="2" t="s">
        <v>325</v>
      </c>
      <c r="E8" s="2" t="s">
        <v>326</v>
      </c>
    </row>
    <row r="9" spans="1:5" ht="28.55" x14ac:dyDescent="0.25">
      <c r="A9" s="2">
        <v>8</v>
      </c>
      <c r="B9" s="2" t="s">
        <v>327</v>
      </c>
      <c r="C9" s="2" t="s">
        <v>328</v>
      </c>
      <c r="D9" s="2" t="s">
        <v>329</v>
      </c>
      <c r="E9" s="2" t="s">
        <v>330</v>
      </c>
    </row>
    <row r="10" spans="1:5" x14ac:dyDescent="0.25">
      <c r="A10" s="2">
        <v>9</v>
      </c>
      <c r="B10" s="2" t="s">
        <v>331</v>
      </c>
      <c r="C10" s="2" t="s">
        <v>332</v>
      </c>
      <c r="D10" s="2" t="s">
        <v>333</v>
      </c>
      <c r="E10" s="2" t="s">
        <v>334</v>
      </c>
    </row>
    <row r="11" spans="1:5" x14ac:dyDescent="0.25">
      <c r="A11" s="2">
        <v>10</v>
      </c>
      <c r="B11" s="2" t="s">
        <v>335</v>
      </c>
      <c r="C11" s="2" t="s">
        <v>336</v>
      </c>
      <c r="D11" s="2" t="s">
        <v>337</v>
      </c>
      <c r="E11" s="2" t="s">
        <v>338</v>
      </c>
    </row>
    <row r="12" spans="1:5" ht="42.8" x14ac:dyDescent="0.25">
      <c r="A12" s="2">
        <v>11</v>
      </c>
      <c r="B12" s="2" t="s">
        <v>339</v>
      </c>
      <c r="C12" s="2" t="s">
        <v>340</v>
      </c>
      <c r="D12" s="2" t="s">
        <v>341</v>
      </c>
      <c r="E12" s="2" t="s">
        <v>342</v>
      </c>
    </row>
    <row r="13" spans="1:5" ht="28.55" x14ac:dyDescent="0.25">
      <c r="A13" s="2">
        <v>12</v>
      </c>
      <c r="B13" s="2" t="s">
        <v>278</v>
      </c>
      <c r="C13" s="2" t="s">
        <v>343</v>
      </c>
      <c r="D13" s="2" t="s">
        <v>344</v>
      </c>
      <c r="E13" s="2" t="s">
        <v>345</v>
      </c>
    </row>
    <row r="15" spans="1:5" x14ac:dyDescent="0.25">
      <c r="A15" s="2" t="s">
        <v>346</v>
      </c>
    </row>
    <row r="17" spans="1:2" x14ac:dyDescent="0.25">
      <c r="A17" s="2" t="s">
        <v>347</v>
      </c>
      <c r="B17" s="2" t="s">
        <v>348</v>
      </c>
    </row>
    <row r="18" spans="1:2" x14ac:dyDescent="0.25">
      <c r="A18" s="2" t="s">
        <v>349</v>
      </c>
      <c r="B18" s="2" t="s">
        <v>350</v>
      </c>
    </row>
    <row r="19" spans="1:2" x14ac:dyDescent="0.25">
      <c r="A19" s="2" t="s">
        <v>351</v>
      </c>
      <c r="B19" s="2" t="s">
        <v>352</v>
      </c>
    </row>
    <row r="20" spans="1:2" x14ac:dyDescent="0.25">
      <c r="A20" s="2" t="s">
        <v>353</v>
      </c>
      <c r="B20" s="2" t="s">
        <v>354</v>
      </c>
    </row>
    <row r="21" spans="1:2" x14ac:dyDescent="0.25">
      <c r="A21" s="2" t="s">
        <v>355</v>
      </c>
      <c r="B21" s="2" t="s">
        <v>356</v>
      </c>
    </row>
    <row r="24" spans="1:2" x14ac:dyDescent="0.25">
      <c r="A24" s="2" t="s">
        <v>357</v>
      </c>
    </row>
    <row r="26" spans="1:2" x14ac:dyDescent="0.25">
      <c r="A26" s="2" t="s">
        <v>358</v>
      </c>
      <c r="B26" s="2" t="s">
        <v>359</v>
      </c>
    </row>
    <row r="27" spans="1:2" x14ac:dyDescent="0.25">
      <c r="A27" s="2" t="s">
        <v>245</v>
      </c>
      <c r="B27" s="2" t="s">
        <v>360</v>
      </c>
    </row>
    <row r="28" spans="1:2" x14ac:dyDescent="0.25">
      <c r="A28" s="2" t="s">
        <v>250</v>
      </c>
      <c r="B28" s="2" t="s">
        <v>361</v>
      </c>
    </row>
    <row r="29" spans="1:2" x14ac:dyDescent="0.25">
      <c r="A29" s="2" t="s">
        <v>362</v>
      </c>
      <c r="B29" s="2" t="s">
        <v>363</v>
      </c>
    </row>
    <row r="30" spans="1:2" x14ac:dyDescent="0.25">
      <c r="A30" s="2" t="s">
        <v>364</v>
      </c>
      <c r="B30" s="2" t="s">
        <v>365</v>
      </c>
    </row>
  </sheetData>
  <pageMargins left="0.75" right="0.75" top="1" bottom="1" header="0.5" footer="0.5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01_User_Profile</vt:lpstr>
      <vt:lpstr>02_User_Segments</vt:lpstr>
      <vt:lpstr>03_Device_Analysis</vt:lpstr>
      <vt:lpstr>05_Navigation_Flows</vt:lpstr>
      <vt:lpstr>06_Top_Navigation_Flows</vt:lpstr>
      <vt:lpstr>07_Funnels</vt:lpstr>
      <vt:lpstr>08_CTA_Analysis</vt:lpstr>
      <vt:lpstr>09_Button_Analysis</vt:lpstr>
      <vt:lpstr>10_Exit_Analysis</vt:lpstr>
      <vt:lpstr>11_Exit_Reason_By_Page</vt:lpstr>
      <vt:lpstr>12_Form_Analysis</vt:lpstr>
      <vt:lpstr>13_Validation_Errors</vt:lpstr>
      <vt:lpstr>14_Scroll_Analysis</vt:lpstr>
      <vt:lpstr>15_Correlation</vt:lpstr>
      <vt:lpstr>16_UX_Insights</vt:lpstr>
      <vt:lpstr>17_Executive_Summary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MOHAMMED TINWALA</cp:lastModifiedBy>
  <dcterms:created xsi:type="dcterms:W3CDTF">2026-08-31T18:49:19Z</dcterms:created>
  <dcterms:modified xsi:type="dcterms:W3CDTF">2026-09-01T19:14:42Z</dcterms:modified>
</cp:coreProperties>
</file>